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Project Setup" sheetId="3" state="visible" r:id="rId3"/>
    <sheet xmlns:r="http://schemas.openxmlformats.org/officeDocument/2006/relationships" name="Summary" sheetId="4" state="visible" r:id="rId4"/>
  </sheets>
  <definedNames>
    <definedName name="StatusList">Lookups!$A$2:$A$8</definedName>
    <definedName name="TriggerList">Lookups!$B$2:$B$8</definedName>
    <definedName name="PhaseList">Lookups!$C$2:$C$3</definedName>
    <definedName name="ApprovalList">Lookups!$D$2:$D$5</definedName>
    <definedName name="InvoiceList">Lookups!$E$2:$E$4</definedName>
    <definedName name="ProjectCode">'Project Setup'!$B$3</definedName>
    <definedName name="ProjectName">'Project Setup'!$B$4</definedName>
    <definedName name="ClientName">'Project Setup'!$B$5</definedName>
    <definedName name="OriginalContractSum">'Project Setup'!$B$9</definedName>
    <definedName name="BuilderName">'Project Setup'!$B$10</definedName>
    <definedName name="BuilderLegalEntity">'Project Setup'!$B$11</definedName>
    <definedName name="BuilderABN">'Project Setup'!$B$12</definedName>
    <definedName name="BuilderLicense">'Project Setup'!$B$13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"/>
    <numFmt numFmtId="166" formatCode="&quot;$&quot;#,##0.00;[Red]-&quot;$&quot;#,##0.00"/>
    <numFmt numFmtId="167" formatCode="0.0%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i val="1"/>
      <color rgb="00C00000"/>
      <sz val="10"/>
    </font>
    <font>
      <i val="1"/>
      <color rgb="00808080"/>
      <sz val="9"/>
    </font>
    <font>
      <b val="1"/>
      <color rgb="00C0000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FAADC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  <xf numFmtId="1" fontId="5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  <xf numFmtId="166" fontId="0" fillId="8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6" customWidth="1" min="4" max="4"/>
    <col width="22" customWidth="1" min="5" max="5"/>
    <col width="35" customWidth="1" min="6" max="6"/>
    <col width="50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6" customWidth="1" min="13" max="13"/>
    <col width="11" customWidth="1" min="14" max="14"/>
    <col width="15" customWidth="1" min="15" max="15"/>
    <col width="12" customWidth="1" min="16" max="16"/>
    <col width="16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8" customWidth="1" min="23" max="23"/>
    <col width="22" customWidth="1" min="24" max="24"/>
    <col width="16" customWidth="1" min="25" max="25"/>
    <col width="18" customWidth="1" min="26" max="26"/>
    <col width="14" customWidth="1" min="27" max="27"/>
    <col width="40" customWidth="1" min="28" max="28"/>
    <col width="35" customWidth="1" min="29" max="29"/>
  </cols>
  <sheetData>
    <row r="1" ht="26" customHeight="1">
      <c r="A1" s="1" t="inlineStr">
        <is>
          <t>VARIATION REGISTER</t>
        </is>
      </c>
    </row>
    <row r="2" ht="24" customHeight="1">
      <c r="A2" s="2" t="inlineStr">
        <is>
          <t>IDENTIFICATION &amp; SCOPE</t>
        </is>
      </c>
      <c r="H2" s="3" t="inlineStr">
        <is>
          <t>COST TO ME (CONFIDENTIAL — INTERNAL ONLY)</t>
        </is>
      </c>
      <c r="O2" s="4" t="inlineStr">
        <is>
          <t>PRICE TO CLIENT (appears on notice)</t>
        </is>
      </c>
      <c r="T2" s="5" t="inlineStr">
        <is>
          <t>NOTICE / APPROVAL / INVOICING</t>
        </is>
      </c>
    </row>
    <row r="3" ht="36" customHeight="1">
      <c r="A3" s="6" t="inlineStr">
        <is>
          <t>VAR #</t>
        </is>
      </c>
      <c r="B3" s="7" t="inlineStr">
        <is>
          <t>Date Raised</t>
        </is>
      </c>
      <c r="C3" s="7" t="inlineStr">
        <is>
          <t>Status</t>
        </is>
      </c>
      <c r="D3" s="7" t="inlineStr">
        <is>
          <t>Phase</t>
        </is>
      </c>
      <c r="E3" s="7" t="inlineStr">
        <is>
          <t>Trigger</t>
        </is>
      </c>
      <c r="F3" s="6" t="inlineStr">
        <is>
          <t>Short description</t>
        </is>
      </c>
      <c r="G3" s="6" t="inlineStr">
        <is>
          <t>Detailed scope</t>
        </is>
      </c>
      <c r="H3" s="8" t="inlineStr">
        <is>
          <t>Materials $</t>
        </is>
      </c>
      <c r="I3" s="8" t="inlineStr">
        <is>
          <t>Labour $</t>
        </is>
      </c>
      <c r="J3" s="8" t="inlineStr">
        <is>
          <t>Subcontractor $</t>
        </is>
      </c>
      <c r="K3" s="8" t="inlineStr">
        <is>
          <t>Plant / hire $</t>
        </is>
      </c>
      <c r="L3" s="8" t="inlineStr">
        <is>
          <t>Other $</t>
        </is>
      </c>
      <c r="M3" s="8" t="inlineStr">
        <is>
          <t>Cost to me (total)</t>
        </is>
      </c>
      <c r="N3" s="8" t="inlineStr">
        <is>
          <t>Markup %</t>
        </is>
      </c>
      <c r="O3" s="9" t="inlineStr">
        <is>
          <t>Price (ex GST)</t>
        </is>
      </c>
      <c r="P3" s="9" t="inlineStr">
        <is>
          <t>GST</t>
        </is>
      </c>
      <c r="Q3" s="9" t="inlineStr">
        <is>
          <t>Price (inc GST)</t>
        </is>
      </c>
      <c r="R3" s="9" t="inlineStr">
        <is>
          <t>Time impact (days)</t>
        </is>
      </c>
      <c r="S3" s="8" t="inlineStr">
        <is>
          <t>Margin $</t>
        </is>
      </c>
      <c r="T3" s="7" t="inlineStr">
        <is>
          <t>Notice v1 issued</t>
        </is>
      </c>
      <c r="U3" s="7" t="inlineStr">
        <is>
          <t>Notice v2 issued</t>
        </is>
      </c>
      <c r="V3" s="7" t="inlineStr">
        <is>
          <t>Client approval date</t>
        </is>
      </c>
      <c r="W3" s="7" t="inlineStr">
        <is>
          <t>Approval method</t>
        </is>
      </c>
      <c r="X3" s="7" t="inlineStr">
        <is>
          <t>Approved by (name)</t>
        </is>
      </c>
      <c r="Y3" s="7" t="inlineStr">
        <is>
          <t>Invoice / claim #</t>
        </is>
      </c>
      <c r="Z3" s="7" t="inlineStr">
        <is>
          <t>Invoice method</t>
        </is>
      </c>
      <c r="AA3" s="7" t="inlineStr">
        <is>
          <t>Date invoiced</t>
        </is>
      </c>
      <c r="AB3" s="6" t="inlineStr">
        <is>
          <t>Dropbox folder</t>
        </is>
      </c>
      <c r="AC3" s="6" t="inlineStr">
        <is>
          <t>Notes</t>
        </is>
      </c>
    </row>
    <row r="4">
      <c r="A4" s="10" t="n"/>
      <c r="B4" s="11" t="n"/>
      <c r="C4" s="12" t="n"/>
      <c r="D4" s="12" t="n"/>
      <c r="E4" s="12" t="n"/>
      <c r="F4" s="10" t="n"/>
      <c r="G4" s="10" t="n"/>
      <c r="H4" s="13" t="n"/>
      <c r="I4" s="13" t="n"/>
      <c r="J4" s="13" t="n"/>
      <c r="K4" s="13" t="n"/>
      <c r="L4" s="13" t="n"/>
      <c r="M4" s="13">
        <f>IFERROR(SUM(H4:L4),0)</f>
        <v/>
      </c>
      <c r="N4" s="14" t="n"/>
      <c r="O4" s="15">
        <f>IF(AND(ISNUMBER(M4),ISNUMBER(N4)),M4*(1+N4),"")</f>
        <v/>
      </c>
      <c r="P4" s="15">
        <f>IF(ISNUMBER(O4),O4*0.1,"")</f>
        <v/>
      </c>
      <c r="Q4" s="15">
        <f>IF(AND(ISNUMBER(O4),ISNUMBER(P4)),O4+P4,"")</f>
        <v/>
      </c>
      <c r="R4" s="16" t="n"/>
      <c r="S4" s="13">
        <f>IF(AND(ISNUMBER(O4),ISNUMBER(M4)),O4-M4,"")</f>
        <v/>
      </c>
      <c r="T4" s="11" t="n"/>
      <c r="U4" s="11" t="n"/>
      <c r="V4" s="11" t="n"/>
      <c r="W4" s="12" t="n"/>
      <c r="X4" s="17" t="n"/>
      <c r="Y4" s="17" t="n"/>
      <c r="Z4" s="12" t="n"/>
      <c r="AA4" s="11" t="n"/>
      <c r="AB4" s="10" t="n"/>
      <c r="AC4" s="10" t="n"/>
    </row>
    <row r="5">
      <c r="A5" s="10" t="n"/>
      <c r="B5" s="11" t="n"/>
      <c r="C5" s="12" t="n"/>
      <c r="D5" s="12" t="n"/>
      <c r="E5" s="12" t="n"/>
      <c r="F5" s="10" t="n"/>
      <c r="G5" s="10" t="n"/>
      <c r="H5" s="13" t="n"/>
      <c r="I5" s="13" t="n"/>
      <c r="J5" s="13" t="n"/>
      <c r="K5" s="13" t="n"/>
      <c r="L5" s="13" t="n"/>
      <c r="M5" s="13">
        <f>IFERROR(SUM(H5:L5),0)</f>
        <v/>
      </c>
      <c r="N5" s="14" t="n"/>
      <c r="O5" s="15">
        <f>IF(AND(ISNUMBER(M5),ISNUMBER(N5)),M5*(1+N5),"")</f>
        <v/>
      </c>
      <c r="P5" s="15">
        <f>IF(ISNUMBER(O5),O5*0.1,"")</f>
        <v/>
      </c>
      <c r="Q5" s="15">
        <f>IF(AND(ISNUMBER(O5),ISNUMBER(P5)),O5+P5,"")</f>
        <v/>
      </c>
      <c r="R5" s="16" t="n"/>
      <c r="S5" s="13">
        <f>IF(AND(ISNUMBER(O5),ISNUMBER(M5)),O5-M5,"")</f>
        <v/>
      </c>
      <c r="T5" s="11" t="n"/>
      <c r="U5" s="11" t="n"/>
      <c r="V5" s="11" t="n"/>
      <c r="W5" s="12" t="n"/>
      <c r="X5" s="17" t="n"/>
      <c r="Y5" s="17" t="n"/>
      <c r="Z5" s="12" t="n"/>
      <c r="AA5" s="11" t="n"/>
      <c r="AB5" s="10" t="n"/>
      <c r="AC5" s="10" t="n"/>
    </row>
    <row r="6">
      <c r="A6" s="10" t="n"/>
      <c r="B6" s="11" t="n"/>
      <c r="C6" s="12" t="n"/>
      <c r="D6" s="12" t="n"/>
      <c r="E6" s="12" t="n"/>
      <c r="F6" s="10" t="n"/>
      <c r="G6" s="10" t="n"/>
      <c r="H6" s="13" t="n"/>
      <c r="I6" s="13" t="n"/>
      <c r="J6" s="13" t="n"/>
      <c r="K6" s="13" t="n"/>
      <c r="L6" s="13" t="n"/>
      <c r="M6" s="13">
        <f>IFERROR(SUM(H6:L6),0)</f>
        <v/>
      </c>
      <c r="N6" s="14" t="n"/>
      <c r="O6" s="15">
        <f>IF(AND(ISNUMBER(M6),ISNUMBER(N6)),M6*(1+N6),"")</f>
        <v/>
      </c>
      <c r="P6" s="15">
        <f>IF(ISNUMBER(O6),O6*0.1,"")</f>
        <v/>
      </c>
      <c r="Q6" s="15">
        <f>IF(AND(ISNUMBER(O6),ISNUMBER(P6)),O6+P6,"")</f>
        <v/>
      </c>
      <c r="R6" s="16" t="n"/>
      <c r="S6" s="13">
        <f>IF(AND(ISNUMBER(O6),ISNUMBER(M6)),O6-M6,"")</f>
        <v/>
      </c>
      <c r="T6" s="11" t="n"/>
      <c r="U6" s="11" t="n"/>
      <c r="V6" s="11" t="n"/>
      <c r="W6" s="12" t="n"/>
      <c r="X6" s="17" t="n"/>
      <c r="Y6" s="17" t="n"/>
      <c r="Z6" s="12" t="n"/>
      <c r="AA6" s="11" t="n"/>
      <c r="AB6" s="10" t="n"/>
      <c r="AC6" s="10" t="n"/>
    </row>
    <row r="7">
      <c r="A7" s="10" t="n"/>
      <c r="B7" s="11" t="n"/>
      <c r="C7" s="12" t="n"/>
      <c r="D7" s="12" t="n"/>
      <c r="E7" s="12" t="n"/>
      <c r="F7" s="10" t="n"/>
      <c r="G7" s="10" t="n"/>
      <c r="H7" s="13" t="n"/>
      <c r="I7" s="13" t="n"/>
      <c r="J7" s="13" t="n"/>
      <c r="K7" s="13" t="n"/>
      <c r="L7" s="13" t="n"/>
      <c r="M7" s="13">
        <f>IFERROR(SUM(H7:L7),0)</f>
        <v/>
      </c>
      <c r="N7" s="14" t="n"/>
      <c r="O7" s="15">
        <f>IF(AND(ISNUMBER(M7),ISNUMBER(N7)),M7*(1+N7),"")</f>
        <v/>
      </c>
      <c r="P7" s="15">
        <f>IF(ISNUMBER(O7),O7*0.1,"")</f>
        <v/>
      </c>
      <c r="Q7" s="15">
        <f>IF(AND(ISNUMBER(O7),ISNUMBER(P7)),O7+P7,"")</f>
        <v/>
      </c>
      <c r="R7" s="16" t="n"/>
      <c r="S7" s="13">
        <f>IF(AND(ISNUMBER(O7),ISNUMBER(M7)),O7-M7,"")</f>
        <v/>
      </c>
      <c r="T7" s="11" t="n"/>
      <c r="U7" s="11" t="n"/>
      <c r="V7" s="11" t="n"/>
      <c r="W7" s="12" t="n"/>
      <c r="X7" s="17" t="n"/>
      <c r="Y7" s="17" t="n"/>
      <c r="Z7" s="12" t="n"/>
      <c r="AA7" s="11" t="n"/>
      <c r="AB7" s="10" t="n"/>
      <c r="AC7" s="10" t="n"/>
    </row>
    <row r="8">
      <c r="A8" s="10" t="n"/>
      <c r="B8" s="11" t="n"/>
      <c r="C8" s="12" t="n"/>
      <c r="D8" s="12" t="n"/>
      <c r="E8" s="12" t="n"/>
      <c r="F8" s="10" t="n"/>
      <c r="G8" s="10" t="n"/>
      <c r="H8" s="13" t="n"/>
      <c r="I8" s="13" t="n"/>
      <c r="J8" s="13" t="n"/>
      <c r="K8" s="13" t="n"/>
      <c r="L8" s="13" t="n"/>
      <c r="M8" s="13">
        <f>IFERROR(SUM(H8:L8),0)</f>
        <v/>
      </c>
      <c r="N8" s="14" t="n"/>
      <c r="O8" s="15">
        <f>IF(AND(ISNUMBER(M8),ISNUMBER(N8)),M8*(1+N8),"")</f>
        <v/>
      </c>
      <c r="P8" s="15">
        <f>IF(ISNUMBER(O8),O8*0.1,"")</f>
        <v/>
      </c>
      <c r="Q8" s="15">
        <f>IF(AND(ISNUMBER(O8),ISNUMBER(P8)),O8+P8,"")</f>
        <v/>
      </c>
      <c r="R8" s="16" t="n"/>
      <c r="S8" s="13">
        <f>IF(AND(ISNUMBER(O8),ISNUMBER(M8)),O8-M8,"")</f>
        <v/>
      </c>
      <c r="T8" s="11" t="n"/>
      <c r="U8" s="11" t="n"/>
      <c r="V8" s="11" t="n"/>
      <c r="W8" s="12" t="n"/>
      <c r="X8" s="17" t="n"/>
      <c r="Y8" s="17" t="n"/>
      <c r="Z8" s="12" t="n"/>
      <c r="AA8" s="11" t="n"/>
      <c r="AB8" s="10" t="n"/>
      <c r="AC8" s="10" t="n"/>
    </row>
    <row r="9">
      <c r="A9" s="10" t="n"/>
      <c r="B9" s="11" t="n"/>
      <c r="C9" s="12" t="n"/>
      <c r="D9" s="12" t="n"/>
      <c r="E9" s="12" t="n"/>
      <c r="F9" s="10" t="n"/>
      <c r="G9" s="10" t="n"/>
      <c r="H9" s="13" t="n"/>
      <c r="I9" s="13" t="n"/>
      <c r="J9" s="13" t="n"/>
      <c r="K9" s="13" t="n"/>
      <c r="L9" s="13" t="n"/>
      <c r="M9" s="13">
        <f>IFERROR(SUM(H9:L9),0)</f>
        <v/>
      </c>
      <c r="N9" s="14" t="n"/>
      <c r="O9" s="15">
        <f>IF(AND(ISNUMBER(M9),ISNUMBER(N9)),M9*(1+N9),"")</f>
        <v/>
      </c>
      <c r="P9" s="15">
        <f>IF(ISNUMBER(O9),O9*0.1,"")</f>
        <v/>
      </c>
      <c r="Q9" s="15">
        <f>IF(AND(ISNUMBER(O9),ISNUMBER(P9)),O9+P9,"")</f>
        <v/>
      </c>
      <c r="R9" s="16" t="n"/>
      <c r="S9" s="13">
        <f>IF(AND(ISNUMBER(O9),ISNUMBER(M9)),O9-M9,"")</f>
        <v/>
      </c>
      <c r="T9" s="11" t="n"/>
      <c r="U9" s="11" t="n"/>
      <c r="V9" s="11" t="n"/>
      <c r="W9" s="12" t="n"/>
      <c r="X9" s="17" t="n"/>
      <c r="Y9" s="17" t="n"/>
      <c r="Z9" s="12" t="n"/>
      <c r="AA9" s="11" t="n"/>
      <c r="AB9" s="10" t="n"/>
      <c r="AC9" s="10" t="n"/>
    </row>
    <row r="10">
      <c r="A10" s="10" t="n"/>
      <c r="B10" s="11" t="n"/>
      <c r="C10" s="12" t="n"/>
      <c r="D10" s="12" t="n"/>
      <c r="E10" s="12" t="n"/>
      <c r="F10" s="10" t="n"/>
      <c r="G10" s="10" t="n"/>
      <c r="H10" s="13" t="n"/>
      <c r="I10" s="13" t="n"/>
      <c r="J10" s="13" t="n"/>
      <c r="K10" s="13" t="n"/>
      <c r="L10" s="13" t="n"/>
      <c r="M10" s="13">
        <f>IFERROR(SUM(H10:L10),0)</f>
        <v/>
      </c>
      <c r="N10" s="14" t="n"/>
      <c r="O10" s="15">
        <f>IF(AND(ISNUMBER(M10),ISNUMBER(N10)),M10*(1+N10),"")</f>
        <v/>
      </c>
      <c r="P10" s="15">
        <f>IF(ISNUMBER(O10),O10*0.1,"")</f>
        <v/>
      </c>
      <c r="Q10" s="15">
        <f>IF(AND(ISNUMBER(O10),ISNUMBER(P10)),O10+P10,"")</f>
        <v/>
      </c>
      <c r="R10" s="16" t="n"/>
      <c r="S10" s="13">
        <f>IF(AND(ISNUMBER(O10),ISNUMBER(M10)),O10-M10,"")</f>
        <v/>
      </c>
      <c r="T10" s="11" t="n"/>
      <c r="U10" s="11" t="n"/>
      <c r="V10" s="11" t="n"/>
      <c r="W10" s="12" t="n"/>
      <c r="X10" s="17" t="n"/>
      <c r="Y10" s="17" t="n"/>
      <c r="Z10" s="12" t="n"/>
      <c r="AA10" s="11" t="n"/>
      <c r="AB10" s="10" t="n"/>
      <c r="AC10" s="10" t="n"/>
    </row>
    <row r="11">
      <c r="A11" s="10" t="n"/>
      <c r="B11" s="11" t="n"/>
      <c r="C11" s="12" t="n"/>
      <c r="D11" s="12" t="n"/>
      <c r="E11" s="12" t="n"/>
      <c r="F11" s="10" t="n"/>
      <c r="G11" s="10" t="n"/>
      <c r="H11" s="13" t="n"/>
      <c r="I11" s="13" t="n"/>
      <c r="J11" s="13" t="n"/>
      <c r="K11" s="13" t="n"/>
      <c r="L11" s="13" t="n"/>
      <c r="M11" s="13">
        <f>IFERROR(SUM(H11:L11),0)</f>
        <v/>
      </c>
      <c r="N11" s="14" t="n"/>
      <c r="O11" s="15">
        <f>IF(AND(ISNUMBER(M11),ISNUMBER(N11)),M11*(1+N11),"")</f>
        <v/>
      </c>
      <c r="P11" s="15">
        <f>IF(ISNUMBER(O11),O11*0.1,"")</f>
        <v/>
      </c>
      <c r="Q11" s="15">
        <f>IF(AND(ISNUMBER(O11),ISNUMBER(P11)),O11+P11,"")</f>
        <v/>
      </c>
      <c r="R11" s="16" t="n"/>
      <c r="S11" s="13">
        <f>IF(AND(ISNUMBER(O11),ISNUMBER(M11)),O11-M11,"")</f>
        <v/>
      </c>
      <c r="T11" s="11" t="n"/>
      <c r="U11" s="11" t="n"/>
      <c r="V11" s="11" t="n"/>
      <c r="W11" s="12" t="n"/>
      <c r="X11" s="17" t="n"/>
      <c r="Y11" s="17" t="n"/>
      <c r="Z11" s="12" t="n"/>
      <c r="AA11" s="11" t="n"/>
      <c r="AB11" s="10" t="n"/>
      <c r="AC11" s="10" t="n"/>
    </row>
    <row r="12">
      <c r="A12" s="10" t="n"/>
      <c r="B12" s="11" t="n"/>
      <c r="C12" s="12" t="n"/>
      <c r="D12" s="12" t="n"/>
      <c r="E12" s="12" t="n"/>
      <c r="F12" s="10" t="n"/>
      <c r="G12" s="10" t="n"/>
      <c r="H12" s="13" t="n"/>
      <c r="I12" s="13" t="n"/>
      <c r="J12" s="13" t="n"/>
      <c r="K12" s="13" t="n"/>
      <c r="L12" s="13" t="n"/>
      <c r="M12" s="13">
        <f>IFERROR(SUM(H12:L12),0)</f>
        <v/>
      </c>
      <c r="N12" s="14" t="n"/>
      <c r="O12" s="15">
        <f>IF(AND(ISNUMBER(M12),ISNUMBER(N12)),M12*(1+N12),"")</f>
        <v/>
      </c>
      <c r="P12" s="15">
        <f>IF(ISNUMBER(O12),O12*0.1,"")</f>
        <v/>
      </c>
      <c r="Q12" s="15">
        <f>IF(AND(ISNUMBER(O12),ISNUMBER(P12)),O12+P12,"")</f>
        <v/>
      </c>
      <c r="R12" s="16" t="n"/>
      <c r="S12" s="13">
        <f>IF(AND(ISNUMBER(O12),ISNUMBER(M12)),O12-M12,"")</f>
        <v/>
      </c>
      <c r="T12" s="11" t="n"/>
      <c r="U12" s="11" t="n"/>
      <c r="V12" s="11" t="n"/>
      <c r="W12" s="12" t="n"/>
      <c r="X12" s="17" t="n"/>
      <c r="Y12" s="17" t="n"/>
      <c r="Z12" s="12" t="n"/>
      <c r="AA12" s="11" t="n"/>
      <c r="AB12" s="10" t="n"/>
      <c r="AC12" s="10" t="n"/>
    </row>
    <row r="13">
      <c r="A13" s="10" t="n"/>
      <c r="B13" s="11" t="n"/>
      <c r="C13" s="12" t="n"/>
      <c r="D13" s="12" t="n"/>
      <c r="E13" s="12" t="n"/>
      <c r="F13" s="10" t="n"/>
      <c r="G13" s="10" t="n"/>
      <c r="H13" s="13" t="n"/>
      <c r="I13" s="13" t="n"/>
      <c r="J13" s="13" t="n"/>
      <c r="K13" s="13" t="n"/>
      <c r="L13" s="13" t="n"/>
      <c r="M13" s="13">
        <f>IFERROR(SUM(H13:L13),0)</f>
        <v/>
      </c>
      <c r="N13" s="14" t="n"/>
      <c r="O13" s="15">
        <f>IF(AND(ISNUMBER(M13),ISNUMBER(N13)),M13*(1+N13),"")</f>
        <v/>
      </c>
      <c r="P13" s="15">
        <f>IF(ISNUMBER(O13),O13*0.1,"")</f>
        <v/>
      </c>
      <c r="Q13" s="15">
        <f>IF(AND(ISNUMBER(O13),ISNUMBER(P13)),O13+P13,"")</f>
        <v/>
      </c>
      <c r="R13" s="16" t="n"/>
      <c r="S13" s="13">
        <f>IF(AND(ISNUMBER(O13),ISNUMBER(M13)),O13-M13,"")</f>
        <v/>
      </c>
      <c r="T13" s="11" t="n"/>
      <c r="U13" s="11" t="n"/>
      <c r="V13" s="11" t="n"/>
      <c r="W13" s="12" t="n"/>
      <c r="X13" s="17" t="n"/>
      <c r="Y13" s="17" t="n"/>
      <c r="Z13" s="12" t="n"/>
      <c r="AA13" s="11" t="n"/>
      <c r="AB13" s="10" t="n"/>
      <c r="AC13" s="10" t="n"/>
    </row>
    <row r="14">
      <c r="A14" s="10" t="n"/>
      <c r="B14" s="11" t="n"/>
      <c r="C14" s="12" t="n"/>
      <c r="D14" s="12" t="n"/>
      <c r="E14" s="12" t="n"/>
      <c r="F14" s="10" t="n"/>
      <c r="G14" s="10" t="n"/>
      <c r="H14" s="13" t="n"/>
      <c r="I14" s="13" t="n"/>
      <c r="J14" s="13" t="n"/>
      <c r="K14" s="13" t="n"/>
      <c r="L14" s="13" t="n"/>
      <c r="M14" s="13">
        <f>IFERROR(SUM(H14:L14),0)</f>
        <v/>
      </c>
      <c r="N14" s="14" t="n"/>
      <c r="O14" s="15">
        <f>IF(AND(ISNUMBER(M14),ISNUMBER(N14)),M14*(1+N14),"")</f>
        <v/>
      </c>
      <c r="P14" s="15">
        <f>IF(ISNUMBER(O14),O14*0.1,"")</f>
        <v/>
      </c>
      <c r="Q14" s="15">
        <f>IF(AND(ISNUMBER(O14),ISNUMBER(P14)),O14+P14,"")</f>
        <v/>
      </c>
      <c r="R14" s="16" t="n"/>
      <c r="S14" s="13">
        <f>IF(AND(ISNUMBER(O14),ISNUMBER(M14)),O14-M14,"")</f>
        <v/>
      </c>
      <c r="T14" s="11" t="n"/>
      <c r="U14" s="11" t="n"/>
      <c r="V14" s="11" t="n"/>
      <c r="W14" s="12" t="n"/>
      <c r="X14" s="17" t="n"/>
      <c r="Y14" s="17" t="n"/>
      <c r="Z14" s="12" t="n"/>
      <c r="AA14" s="11" t="n"/>
      <c r="AB14" s="10" t="n"/>
      <c r="AC14" s="10" t="n"/>
    </row>
    <row r="15">
      <c r="A15" s="10" t="n"/>
      <c r="B15" s="11" t="n"/>
      <c r="C15" s="12" t="n"/>
      <c r="D15" s="12" t="n"/>
      <c r="E15" s="12" t="n"/>
      <c r="F15" s="10" t="n"/>
      <c r="G15" s="10" t="n"/>
      <c r="H15" s="13" t="n"/>
      <c r="I15" s="13" t="n"/>
      <c r="J15" s="13" t="n"/>
      <c r="K15" s="13" t="n"/>
      <c r="L15" s="13" t="n"/>
      <c r="M15" s="13">
        <f>IFERROR(SUM(H15:L15),0)</f>
        <v/>
      </c>
      <c r="N15" s="14" t="n"/>
      <c r="O15" s="15">
        <f>IF(AND(ISNUMBER(M15),ISNUMBER(N15)),M15*(1+N15),"")</f>
        <v/>
      </c>
      <c r="P15" s="15">
        <f>IF(ISNUMBER(O15),O15*0.1,"")</f>
        <v/>
      </c>
      <c r="Q15" s="15">
        <f>IF(AND(ISNUMBER(O15),ISNUMBER(P15)),O15+P15,"")</f>
        <v/>
      </c>
      <c r="R15" s="16" t="n"/>
      <c r="S15" s="13">
        <f>IF(AND(ISNUMBER(O15),ISNUMBER(M15)),O15-M15,"")</f>
        <v/>
      </c>
      <c r="T15" s="11" t="n"/>
      <c r="U15" s="11" t="n"/>
      <c r="V15" s="11" t="n"/>
      <c r="W15" s="12" t="n"/>
      <c r="X15" s="17" t="n"/>
      <c r="Y15" s="17" t="n"/>
      <c r="Z15" s="12" t="n"/>
      <c r="AA15" s="11" t="n"/>
      <c r="AB15" s="10" t="n"/>
      <c r="AC15" s="10" t="n"/>
    </row>
    <row r="16">
      <c r="A16" s="10" t="n"/>
      <c r="B16" s="11" t="n"/>
      <c r="C16" s="12" t="n"/>
      <c r="D16" s="12" t="n"/>
      <c r="E16" s="12" t="n"/>
      <c r="F16" s="10" t="n"/>
      <c r="G16" s="10" t="n"/>
      <c r="H16" s="13" t="n"/>
      <c r="I16" s="13" t="n"/>
      <c r="J16" s="13" t="n"/>
      <c r="K16" s="13" t="n"/>
      <c r="L16" s="13" t="n"/>
      <c r="M16" s="13">
        <f>IFERROR(SUM(H16:L16),0)</f>
        <v/>
      </c>
      <c r="N16" s="14" t="n"/>
      <c r="O16" s="15">
        <f>IF(AND(ISNUMBER(M16),ISNUMBER(N16)),M16*(1+N16),"")</f>
        <v/>
      </c>
      <c r="P16" s="15">
        <f>IF(ISNUMBER(O16),O16*0.1,"")</f>
        <v/>
      </c>
      <c r="Q16" s="15">
        <f>IF(AND(ISNUMBER(O16),ISNUMBER(P16)),O16+P16,"")</f>
        <v/>
      </c>
      <c r="R16" s="16" t="n"/>
      <c r="S16" s="13">
        <f>IF(AND(ISNUMBER(O16),ISNUMBER(M16)),O16-M16,"")</f>
        <v/>
      </c>
      <c r="T16" s="11" t="n"/>
      <c r="U16" s="11" t="n"/>
      <c r="V16" s="11" t="n"/>
      <c r="W16" s="12" t="n"/>
      <c r="X16" s="17" t="n"/>
      <c r="Y16" s="17" t="n"/>
      <c r="Z16" s="12" t="n"/>
      <c r="AA16" s="11" t="n"/>
      <c r="AB16" s="10" t="n"/>
      <c r="AC16" s="10" t="n"/>
    </row>
    <row r="17">
      <c r="A17" s="10" t="n"/>
      <c r="B17" s="11" t="n"/>
      <c r="C17" s="12" t="n"/>
      <c r="D17" s="12" t="n"/>
      <c r="E17" s="12" t="n"/>
      <c r="F17" s="10" t="n"/>
      <c r="G17" s="10" t="n"/>
      <c r="H17" s="13" t="n"/>
      <c r="I17" s="13" t="n"/>
      <c r="J17" s="13" t="n"/>
      <c r="K17" s="13" t="n"/>
      <c r="L17" s="13" t="n"/>
      <c r="M17" s="13">
        <f>IFERROR(SUM(H17:L17),0)</f>
        <v/>
      </c>
      <c r="N17" s="14" t="n"/>
      <c r="O17" s="15">
        <f>IF(AND(ISNUMBER(M17),ISNUMBER(N17)),M17*(1+N17),"")</f>
        <v/>
      </c>
      <c r="P17" s="15">
        <f>IF(ISNUMBER(O17),O17*0.1,"")</f>
        <v/>
      </c>
      <c r="Q17" s="15">
        <f>IF(AND(ISNUMBER(O17),ISNUMBER(P17)),O17+P17,"")</f>
        <v/>
      </c>
      <c r="R17" s="16" t="n"/>
      <c r="S17" s="13">
        <f>IF(AND(ISNUMBER(O17),ISNUMBER(M17)),O17-M17,"")</f>
        <v/>
      </c>
      <c r="T17" s="11" t="n"/>
      <c r="U17" s="11" t="n"/>
      <c r="V17" s="11" t="n"/>
      <c r="W17" s="12" t="n"/>
      <c r="X17" s="17" t="n"/>
      <c r="Y17" s="17" t="n"/>
      <c r="Z17" s="12" t="n"/>
      <c r="AA17" s="11" t="n"/>
      <c r="AB17" s="10" t="n"/>
      <c r="AC17" s="10" t="n"/>
    </row>
    <row r="18">
      <c r="A18" s="10" t="n"/>
      <c r="B18" s="11" t="n"/>
      <c r="C18" s="12" t="n"/>
      <c r="D18" s="12" t="n"/>
      <c r="E18" s="12" t="n"/>
      <c r="F18" s="10" t="n"/>
      <c r="G18" s="10" t="n"/>
      <c r="H18" s="13" t="n"/>
      <c r="I18" s="13" t="n"/>
      <c r="J18" s="13" t="n"/>
      <c r="K18" s="13" t="n"/>
      <c r="L18" s="13" t="n"/>
      <c r="M18" s="13">
        <f>IFERROR(SUM(H18:L18),0)</f>
        <v/>
      </c>
      <c r="N18" s="14" t="n"/>
      <c r="O18" s="15">
        <f>IF(AND(ISNUMBER(M18),ISNUMBER(N18)),M18*(1+N18),"")</f>
        <v/>
      </c>
      <c r="P18" s="15">
        <f>IF(ISNUMBER(O18),O18*0.1,"")</f>
        <v/>
      </c>
      <c r="Q18" s="15">
        <f>IF(AND(ISNUMBER(O18),ISNUMBER(P18)),O18+P18,"")</f>
        <v/>
      </c>
      <c r="R18" s="16" t="n"/>
      <c r="S18" s="13">
        <f>IF(AND(ISNUMBER(O18),ISNUMBER(M18)),O18-M18,"")</f>
        <v/>
      </c>
      <c r="T18" s="11" t="n"/>
      <c r="U18" s="11" t="n"/>
      <c r="V18" s="11" t="n"/>
      <c r="W18" s="12" t="n"/>
      <c r="X18" s="17" t="n"/>
      <c r="Y18" s="17" t="n"/>
      <c r="Z18" s="12" t="n"/>
      <c r="AA18" s="11" t="n"/>
      <c r="AB18" s="10" t="n"/>
      <c r="AC18" s="10" t="n"/>
    </row>
    <row r="19">
      <c r="A19" s="10" t="n"/>
      <c r="B19" s="11" t="n"/>
      <c r="C19" s="12" t="n"/>
      <c r="D19" s="12" t="n"/>
      <c r="E19" s="12" t="n"/>
      <c r="F19" s="10" t="n"/>
      <c r="G19" s="10" t="n"/>
      <c r="H19" s="13" t="n"/>
      <c r="I19" s="13" t="n"/>
      <c r="J19" s="13" t="n"/>
      <c r="K19" s="13" t="n"/>
      <c r="L19" s="13" t="n"/>
      <c r="M19" s="13">
        <f>IFERROR(SUM(H19:L19),0)</f>
        <v/>
      </c>
      <c r="N19" s="14" t="n"/>
      <c r="O19" s="15">
        <f>IF(AND(ISNUMBER(M19),ISNUMBER(N19)),M19*(1+N19),"")</f>
        <v/>
      </c>
      <c r="P19" s="15">
        <f>IF(ISNUMBER(O19),O19*0.1,"")</f>
        <v/>
      </c>
      <c r="Q19" s="15">
        <f>IF(AND(ISNUMBER(O19),ISNUMBER(P19)),O19+P19,"")</f>
        <v/>
      </c>
      <c r="R19" s="16" t="n"/>
      <c r="S19" s="13">
        <f>IF(AND(ISNUMBER(O19),ISNUMBER(M19)),O19-M19,"")</f>
        <v/>
      </c>
      <c r="T19" s="11" t="n"/>
      <c r="U19" s="11" t="n"/>
      <c r="V19" s="11" t="n"/>
      <c r="W19" s="12" t="n"/>
      <c r="X19" s="17" t="n"/>
      <c r="Y19" s="17" t="n"/>
      <c r="Z19" s="12" t="n"/>
      <c r="AA19" s="11" t="n"/>
      <c r="AB19" s="10" t="n"/>
      <c r="AC19" s="10" t="n"/>
    </row>
    <row r="20">
      <c r="A20" s="10" t="n"/>
      <c r="B20" s="11" t="n"/>
      <c r="C20" s="12" t="n"/>
      <c r="D20" s="12" t="n"/>
      <c r="E20" s="12" t="n"/>
      <c r="F20" s="10" t="n"/>
      <c r="G20" s="10" t="n"/>
      <c r="H20" s="13" t="n"/>
      <c r="I20" s="13" t="n"/>
      <c r="J20" s="13" t="n"/>
      <c r="K20" s="13" t="n"/>
      <c r="L20" s="13" t="n"/>
      <c r="M20" s="13">
        <f>IFERROR(SUM(H20:L20),0)</f>
        <v/>
      </c>
      <c r="N20" s="14" t="n"/>
      <c r="O20" s="15">
        <f>IF(AND(ISNUMBER(M20),ISNUMBER(N20)),M20*(1+N20),"")</f>
        <v/>
      </c>
      <c r="P20" s="15">
        <f>IF(ISNUMBER(O20),O20*0.1,"")</f>
        <v/>
      </c>
      <c r="Q20" s="15">
        <f>IF(AND(ISNUMBER(O20),ISNUMBER(P20)),O20+P20,"")</f>
        <v/>
      </c>
      <c r="R20" s="16" t="n"/>
      <c r="S20" s="13">
        <f>IF(AND(ISNUMBER(O20),ISNUMBER(M20)),O20-M20,"")</f>
        <v/>
      </c>
      <c r="T20" s="11" t="n"/>
      <c r="U20" s="11" t="n"/>
      <c r="V20" s="11" t="n"/>
      <c r="W20" s="12" t="n"/>
      <c r="X20" s="17" t="n"/>
      <c r="Y20" s="17" t="n"/>
      <c r="Z20" s="12" t="n"/>
      <c r="AA20" s="11" t="n"/>
      <c r="AB20" s="10" t="n"/>
      <c r="AC20" s="10" t="n"/>
    </row>
    <row r="21">
      <c r="A21" s="10" t="n"/>
      <c r="B21" s="11" t="n"/>
      <c r="C21" s="12" t="n"/>
      <c r="D21" s="12" t="n"/>
      <c r="E21" s="12" t="n"/>
      <c r="F21" s="10" t="n"/>
      <c r="G21" s="10" t="n"/>
      <c r="H21" s="13" t="n"/>
      <c r="I21" s="13" t="n"/>
      <c r="J21" s="13" t="n"/>
      <c r="K21" s="13" t="n"/>
      <c r="L21" s="13" t="n"/>
      <c r="M21" s="13">
        <f>IFERROR(SUM(H21:L21),0)</f>
        <v/>
      </c>
      <c r="N21" s="14" t="n"/>
      <c r="O21" s="15">
        <f>IF(AND(ISNUMBER(M21),ISNUMBER(N21)),M21*(1+N21),"")</f>
        <v/>
      </c>
      <c r="P21" s="15">
        <f>IF(ISNUMBER(O21),O21*0.1,"")</f>
        <v/>
      </c>
      <c r="Q21" s="15">
        <f>IF(AND(ISNUMBER(O21),ISNUMBER(P21)),O21+P21,"")</f>
        <v/>
      </c>
      <c r="R21" s="16" t="n"/>
      <c r="S21" s="13">
        <f>IF(AND(ISNUMBER(O21),ISNUMBER(M21)),O21-M21,"")</f>
        <v/>
      </c>
      <c r="T21" s="11" t="n"/>
      <c r="U21" s="11" t="n"/>
      <c r="V21" s="11" t="n"/>
      <c r="W21" s="12" t="n"/>
      <c r="X21" s="17" t="n"/>
      <c r="Y21" s="17" t="n"/>
      <c r="Z21" s="12" t="n"/>
      <c r="AA21" s="11" t="n"/>
      <c r="AB21" s="10" t="n"/>
      <c r="AC21" s="10" t="n"/>
    </row>
    <row r="22">
      <c r="A22" s="10" t="n"/>
      <c r="B22" s="11" t="n"/>
      <c r="C22" s="12" t="n"/>
      <c r="D22" s="12" t="n"/>
      <c r="E22" s="12" t="n"/>
      <c r="F22" s="10" t="n"/>
      <c r="G22" s="10" t="n"/>
      <c r="H22" s="13" t="n"/>
      <c r="I22" s="13" t="n"/>
      <c r="J22" s="13" t="n"/>
      <c r="K22" s="13" t="n"/>
      <c r="L22" s="13" t="n"/>
      <c r="M22" s="13">
        <f>IFERROR(SUM(H22:L22),0)</f>
        <v/>
      </c>
      <c r="N22" s="14" t="n"/>
      <c r="O22" s="15">
        <f>IF(AND(ISNUMBER(M22),ISNUMBER(N22)),M22*(1+N22),"")</f>
        <v/>
      </c>
      <c r="P22" s="15">
        <f>IF(ISNUMBER(O22),O22*0.1,"")</f>
        <v/>
      </c>
      <c r="Q22" s="15">
        <f>IF(AND(ISNUMBER(O22),ISNUMBER(P22)),O22+P22,"")</f>
        <v/>
      </c>
      <c r="R22" s="16" t="n"/>
      <c r="S22" s="13">
        <f>IF(AND(ISNUMBER(O22),ISNUMBER(M22)),O22-M22,"")</f>
        <v/>
      </c>
      <c r="T22" s="11" t="n"/>
      <c r="U22" s="11" t="n"/>
      <c r="V22" s="11" t="n"/>
      <c r="W22" s="12" t="n"/>
      <c r="X22" s="17" t="n"/>
      <c r="Y22" s="17" t="n"/>
      <c r="Z22" s="12" t="n"/>
      <c r="AA22" s="11" t="n"/>
      <c r="AB22" s="10" t="n"/>
      <c r="AC22" s="10" t="n"/>
    </row>
    <row r="23">
      <c r="A23" s="10" t="n"/>
      <c r="B23" s="11" t="n"/>
      <c r="C23" s="12" t="n"/>
      <c r="D23" s="12" t="n"/>
      <c r="E23" s="12" t="n"/>
      <c r="F23" s="10" t="n"/>
      <c r="G23" s="10" t="n"/>
      <c r="H23" s="13" t="n"/>
      <c r="I23" s="13" t="n"/>
      <c r="J23" s="13" t="n"/>
      <c r="K23" s="13" t="n"/>
      <c r="L23" s="13" t="n"/>
      <c r="M23" s="13">
        <f>IFERROR(SUM(H23:L23),0)</f>
        <v/>
      </c>
      <c r="N23" s="14" t="n"/>
      <c r="O23" s="15">
        <f>IF(AND(ISNUMBER(M23),ISNUMBER(N23)),M23*(1+N23),"")</f>
        <v/>
      </c>
      <c r="P23" s="15">
        <f>IF(ISNUMBER(O23),O23*0.1,"")</f>
        <v/>
      </c>
      <c r="Q23" s="15">
        <f>IF(AND(ISNUMBER(O23),ISNUMBER(P23)),O23+P23,"")</f>
        <v/>
      </c>
      <c r="R23" s="16" t="n"/>
      <c r="S23" s="13">
        <f>IF(AND(ISNUMBER(O23),ISNUMBER(M23)),O23-M23,"")</f>
        <v/>
      </c>
      <c r="T23" s="11" t="n"/>
      <c r="U23" s="11" t="n"/>
      <c r="V23" s="11" t="n"/>
      <c r="W23" s="12" t="n"/>
      <c r="X23" s="17" t="n"/>
      <c r="Y23" s="17" t="n"/>
      <c r="Z23" s="12" t="n"/>
      <c r="AA23" s="11" t="n"/>
      <c r="AB23" s="10" t="n"/>
      <c r="AC23" s="10" t="n"/>
    </row>
    <row r="24">
      <c r="A24" s="10" t="n"/>
      <c r="B24" s="11" t="n"/>
      <c r="C24" s="12" t="n"/>
      <c r="D24" s="12" t="n"/>
      <c r="E24" s="12" t="n"/>
      <c r="F24" s="10" t="n"/>
      <c r="G24" s="10" t="n"/>
      <c r="H24" s="13" t="n"/>
      <c r="I24" s="13" t="n"/>
      <c r="J24" s="13" t="n"/>
      <c r="K24" s="13" t="n"/>
      <c r="L24" s="13" t="n"/>
      <c r="M24" s="13">
        <f>IFERROR(SUM(H24:L24),0)</f>
        <v/>
      </c>
      <c r="N24" s="14" t="n"/>
      <c r="O24" s="15">
        <f>IF(AND(ISNUMBER(M24),ISNUMBER(N24)),M24*(1+N24),"")</f>
        <v/>
      </c>
      <c r="P24" s="15">
        <f>IF(ISNUMBER(O24),O24*0.1,"")</f>
        <v/>
      </c>
      <c r="Q24" s="15">
        <f>IF(AND(ISNUMBER(O24),ISNUMBER(P24)),O24+P24,"")</f>
        <v/>
      </c>
      <c r="R24" s="16" t="n"/>
      <c r="S24" s="13">
        <f>IF(AND(ISNUMBER(O24),ISNUMBER(M24)),O24-M24,"")</f>
        <v/>
      </c>
      <c r="T24" s="11" t="n"/>
      <c r="U24" s="11" t="n"/>
      <c r="V24" s="11" t="n"/>
      <c r="W24" s="12" t="n"/>
      <c r="X24" s="17" t="n"/>
      <c r="Y24" s="17" t="n"/>
      <c r="Z24" s="12" t="n"/>
      <c r="AA24" s="11" t="n"/>
      <c r="AB24" s="10" t="n"/>
      <c r="AC24" s="10" t="n"/>
    </row>
    <row r="25">
      <c r="A25" s="10" t="n"/>
      <c r="B25" s="11" t="n"/>
      <c r="C25" s="12" t="n"/>
      <c r="D25" s="12" t="n"/>
      <c r="E25" s="12" t="n"/>
      <c r="F25" s="10" t="n"/>
      <c r="G25" s="10" t="n"/>
      <c r="H25" s="13" t="n"/>
      <c r="I25" s="13" t="n"/>
      <c r="J25" s="13" t="n"/>
      <c r="K25" s="13" t="n"/>
      <c r="L25" s="13" t="n"/>
      <c r="M25" s="13">
        <f>IFERROR(SUM(H25:L25),0)</f>
        <v/>
      </c>
      <c r="N25" s="14" t="n"/>
      <c r="O25" s="15">
        <f>IF(AND(ISNUMBER(M25),ISNUMBER(N25)),M25*(1+N25),"")</f>
        <v/>
      </c>
      <c r="P25" s="15">
        <f>IF(ISNUMBER(O25),O25*0.1,"")</f>
        <v/>
      </c>
      <c r="Q25" s="15">
        <f>IF(AND(ISNUMBER(O25),ISNUMBER(P25)),O25+P25,"")</f>
        <v/>
      </c>
      <c r="R25" s="16" t="n"/>
      <c r="S25" s="13">
        <f>IF(AND(ISNUMBER(O25),ISNUMBER(M25)),O25-M25,"")</f>
        <v/>
      </c>
      <c r="T25" s="11" t="n"/>
      <c r="U25" s="11" t="n"/>
      <c r="V25" s="11" t="n"/>
      <c r="W25" s="12" t="n"/>
      <c r="X25" s="17" t="n"/>
      <c r="Y25" s="17" t="n"/>
      <c r="Z25" s="12" t="n"/>
      <c r="AA25" s="11" t="n"/>
      <c r="AB25" s="10" t="n"/>
      <c r="AC25" s="10" t="n"/>
    </row>
    <row r="26">
      <c r="A26" s="10" t="n"/>
      <c r="B26" s="11" t="n"/>
      <c r="C26" s="12" t="n"/>
      <c r="D26" s="12" t="n"/>
      <c r="E26" s="12" t="n"/>
      <c r="F26" s="10" t="n"/>
      <c r="G26" s="10" t="n"/>
      <c r="H26" s="13" t="n"/>
      <c r="I26" s="13" t="n"/>
      <c r="J26" s="13" t="n"/>
      <c r="K26" s="13" t="n"/>
      <c r="L26" s="13" t="n"/>
      <c r="M26" s="13">
        <f>IFERROR(SUM(H26:L26),0)</f>
        <v/>
      </c>
      <c r="N26" s="14" t="n"/>
      <c r="O26" s="15">
        <f>IF(AND(ISNUMBER(M26),ISNUMBER(N26)),M26*(1+N26),"")</f>
        <v/>
      </c>
      <c r="P26" s="15">
        <f>IF(ISNUMBER(O26),O26*0.1,"")</f>
        <v/>
      </c>
      <c r="Q26" s="15">
        <f>IF(AND(ISNUMBER(O26),ISNUMBER(P26)),O26+P26,"")</f>
        <v/>
      </c>
      <c r="R26" s="16" t="n"/>
      <c r="S26" s="13">
        <f>IF(AND(ISNUMBER(O26),ISNUMBER(M26)),O26-M26,"")</f>
        <v/>
      </c>
      <c r="T26" s="11" t="n"/>
      <c r="U26" s="11" t="n"/>
      <c r="V26" s="11" t="n"/>
      <c r="W26" s="12" t="n"/>
      <c r="X26" s="17" t="n"/>
      <c r="Y26" s="17" t="n"/>
      <c r="Z26" s="12" t="n"/>
      <c r="AA26" s="11" t="n"/>
      <c r="AB26" s="10" t="n"/>
      <c r="AC26" s="10" t="n"/>
    </row>
    <row r="27">
      <c r="A27" s="10" t="n"/>
      <c r="B27" s="11" t="n"/>
      <c r="C27" s="12" t="n"/>
      <c r="D27" s="12" t="n"/>
      <c r="E27" s="12" t="n"/>
      <c r="F27" s="10" t="n"/>
      <c r="G27" s="10" t="n"/>
      <c r="H27" s="13" t="n"/>
      <c r="I27" s="13" t="n"/>
      <c r="J27" s="13" t="n"/>
      <c r="K27" s="13" t="n"/>
      <c r="L27" s="13" t="n"/>
      <c r="M27" s="13">
        <f>IFERROR(SUM(H27:L27),0)</f>
        <v/>
      </c>
      <c r="N27" s="14" t="n"/>
      <c r="O27" s="15">
        <f>IF(AND(ISNUMBER(M27),ISNUMBER(N27)),M27*(1+N27),"")</f>
        <v/>
      </c>
      <c r="P27" s="15">
        <f>IF(ISNUMBER(O27),O27*0.1,"")</f>
        <v/>
      </c>
      <c r="Q27" s="15">
        <f>IF(AND(ISNUMBER(O27),ISNUMBER(P27)),O27+P27,"")</f>
        <v/>
      </c>
      <c r="R27" s="16" t="n"/>
      <c r="S27" s="13">
        <f>IF(AND(ISNUMBER(O27),ISNUMBER(M27)),O27-M27,"")</f>
        <v/>
      </c>
      <c r="T27" s="11" t="n"/>
      <c r="U27" s="11" t="n"/>
      <c r="V27" s="11" t="n"/>
      <c r="W27" s="12" t="n"/>
      <c r="X27" s="17" t="n"/>
      <c r="Y27" s="17" t="n"/>
      <c r="Z27" s="12" t="n"/>
      <c r="AA27" s="11" t="n"/>
      <c r="AB27" s="10" t="n"/>
      <c r="AC27" s="10" t="n"/>
    </row>
    <row r="28">
      <c r="A28" s="10" t="n"/>
      <c r="B28" s="11" t="n"/>
      <c r="C28" s="12" t="n"/>
      <c r="D28" s="12" t="n"/>
      <c r="E28" s="12" t="n"/>
      <c r="F28" s="10" t="n"/>
      <c r="G28" s="10" t="n"/>
      <c r="H28" s="13" t="n"/>
      <c r="I28" s="13" t="n"/>
      <c r="J28" s="13" t="n"/>
      <c r="K28" s="13" t="n"/>
      <c r="L28" s="13" t="n"/>
      <c r="M28" s="13">
        <f>IFERROR(SUM(H28:L28),0)</f>
        <v/>
      </c>
      <c r="N28" s="14" t="n"/>
      <c r="O28" s="15">
        <f>IF(AND(ISNUMBER(M28),ISNUMBER(N28)),M28*(1+N28),"")</f>
        <v/>
      </c>
      <c r="P28" s="15">
        <f>IF(ISNUMBER(O28),O28*0.1,"")</f>
        <v/>
      </c>
      <c r="Q28" s="15">
        <f>IF(AND(ISNUMBER(O28),ISNUMBER(P28)),O28+P28,"")</f>
        <v/>
      </c>
      <c r="R28" s="16" t="n"/>
      <c r="S28" s="13">
        <f>IF(AND(ISNUMBER(O28),ISNUMBER(M28)),O28-M28,"")</f>
        <v/>
      </c>
      <c r="T28" s="11" t="n"/>
      <c r="U28" s="11" t="n"/>
      <c r="V28" s="11" t="n"/>
      <c r="W28" s="12" t="n"/>
      <c r="X28" s="17" t="n"/>
      <c r="Y28" s="17" t="n"/>
      <c r="Z28" s="12" t="n"/>
      <c r="AA28" s="11" t="n"/>
      <c r="AB28" s="10" t="n"/>
      <c r="AC28" s="10" t="n"/>
    </row>
    <row r="29">
      <c r="A29" s="10" t="n"/>
      <c r="B29" s="11" t="n"/>
      <c r="C29" s="12" t="n"/>
      <c r="D29" s="12" t="n"/>
      <c r="E29" s="12" t="n"/>
      <c r="F29" s="10" t="n"/>
      <c r="G29" s="10" t="n"/>
      <c r="H29" s="13" t="n"/>
      <c r="I29" s="13" t="n"/>
      <c r="J29" s="13" t="n"/>
      <c r="K29" s="13" t="n"/>
      <c r="L29" s="13" t="n"/>
      <c r="M29" s="13">
        <f>IFERROR(SUM(H29:L29),0)</f>
        <v/>
      </c>
      <c r="N29" s="14" t="n"/>
      <c r="O29" s="15">
        <f>IF(AND(ISNUMBER(M29),ISNUMBER(N29)),M29*(1+N29),"")</f>
        <v/>
      </c>
      <c r="P29" s="15">
        <f>IF(ISNUMBER(O29),O29*0.1,"")</f>
        <v/>
      </c>
      <c r="Q29" s="15">
        <f>IF(AND(ISNUMBER(O29),ISNUMBER(P29)),O29+P29,"")</f>
        <v/>
      </c>
      <c r="R29" s="16" t="n"/>
      <c r="S29" s="13">
        <f>IF(AND(ISNUMBER(O29),ISNUMBER(M29)),O29-M29,"")</f>
        <v/>
      </c>
      <c r="T29" s="11" t="n"/>
      <c r="U29" s="11" t="n"/>
      <c r="V29" s="11" t="n"/>
      <c r="W29" s="12" t="n"/>
      <c r="X29" s="17" t="n"/>
      <c r="Y29" s="17" t="n"/>
      <c r="Z29" s="12" t="n"/>
      <c r="AA29" s="11" t="n"/>
      <c r="AB29" s="10" t="n"/>
      <c r="AC29" s="10" t="n"/>
    </row>
    <row r="30">
      <c r="A30" s="10" t="n"/>
      <c r="B30" s="11" t="n"/>
      <c r="C30" s="12" t="n"/>
      <c r="D30" s="12" t="n"/>
      <c r="E30" s="12" t="n"/>
      <c r="F30" s="10" t="n"/>
      <c r="G30" s="10" t="n"/>
      <c r="H30" s="13" t="n"/>
      <c r="I30" s="13" t="n"/>
      <c r="J30" s="13" t="n"/>
      <c r="K30" s="13" t="n"/>
      <c r="L30" s="13" t="n"/>
      <c r="M30" s="13">
        <f>IFERROR(SUM(H30:L30),0)</f>
        <v/>
      </c>
      <c r="N30" s="14" t="n"/>
      <c r="O30" s="15">
        <f>IF(AND(ISNUMBER(M30),ISNUMBER(N30)),M30*(1+N30),"")</f>
        <v/>
      </c>
      <c r="P30" s="15">
        <f>IF(ISNUMBER(O30),O30*0.1,"")</f>
        <v/>
      </c>
      <c r="Q30" s="15">
        <f>IF(AND(ISNUMBER(O30),ISNUMBER(P30)),O30+P30,"")</f>
        <v/>
      </c>
      <c r="R30" s="16" t="n"/>
      <c r="S30" s="13">
        <f>IF(AND(ISNUMBER(O30),ISNUMBER(M30)),O30-M30,"")</f>
        <v/>
      </c>
      <c r="T30" s="11" t="n"/>
      <c r="U30" s="11" t="n"/>
      <c r="V30" s="11" t="n"/>
      <c r="W30" s="12" t="n"/>
      <c r="X30" s="17" t="n"/>
      <c r="Y30" s="17" t="n"/>
      <c r="Z30" s="12" t="n"/>
      <c r="AA30" s="11" t="n"/>
      <c r="AB30" s="10" t="n"/>
      <c r="AC30" s="10" t="n"/>
    </row>
    <row r="31">
      <c r="A31" s="10" t="n"/>
      <c r="B31" s="11" t="n"/>
      <c r="C31" s="12" t="n"/>
      <c r="D31" s="12" t="n"/>
      <c r="E31" s="12" t="n"/>
      <c r="F31" s="10" t="n"/>
      <c r="G31" s="10" t="n"/>
      <c r="H31" s="13" t="n"/>
      <c r="I31" s="13" t="n"/>
      <c r="J31" s="13" t="n"/>
      <c r="K31" s="13" t="n"/>
      <c r="L31" s="13" t="n"/>
      <c r="M31" s="13">
        <f>IFERROR(SUM(H31:L31),0)</f>
        <v/>
      </c>
      <c r="N31" s="14" t="n"/>
      <c r="O31" s="15">
        <f>IF(AND(ISNUMBER(M31),ISNUMBER(N31)),M31*(1+N31),"")</f>
        <v/>
      </c>
      <c r="P31" s="15">
        <f>IF(ISNUMBER(O31),O31*0.1,"")</f>
        <v/>
      </c>
      <c r="Q31" s="15">
        <f>IF(AND(ISNUMBER(O31),ISNUMBER(P31)),O31+P31,"")</f>
        <v/>
      </c>
      <c r="R31" s="16" t="n"/>
      <c r="S31" s="13">
        <f>IF(AND(ISNUMBER(O31),ISNUMBER(M31)),O31-M31,"")</f>
        <v/>
      </c>
      <c r="T31" s="11" t="n"/>
      <c r="U31" s="11" t="n"/>
      <c r="V31" s="11" t="n"/>
      <c r="W31" s="12" t="n"/>
      <c r="X31" s="17" t="n"/>
      <c r="Y31" s="17" t="n"/>
      <c r="Z31" s="12" t="n"/>
      <c r="AA31" s="11" t="n"/>
      <c r="AB31" s="10" t="n"/>
      <c r="AC31" s="10" t="n"/>
    </row>
    <row r="32">
      <c r="A32" s="10" t="n"/>
      <c r="B32" s="11" t="n"/>
      <c r="C32" s="12" t="n"/>
      <c r="D32" s="12" t="n"/>
      <c r="E32" s="12" t="n"/>
      <c r="F32" s="10" t="n"/>
      <c r="G32" s="10" t="n"/>
      <c r="H32" s="13" t="n"/>
      <c r="I32" s="13" t="n"/>
      <c r="J32" s="13" t="n"/>
      <c r="K32" s="13" t="n"/>
      <c r="L32" s="13" t="n"/>
      <c r="M32" s="13">
        <f>IFERROR(SUM(H32:L32),0)</f>
        <v/>
      </c>
      <c r="N32" s="14" t="n"/>
      <c r="O32" s="15">
        <f>IF(AND(ISNUMBER(M32),ISNUMBER(N32)),M32*(1+N32),"")</f>
        <v/>
      </c>
      <c r="P32" s="15">
        <f>IF(ISNUMBER(O32),O32*0.1,"")</f>
        <v/>
      </c>
      <c r="Q32" s="15">
        <f>IF(AND(ISNUMBER(O32),ISNUMBER(P32)),O32+P32,"")</f>
        <v/>
      </c>
      <c r="R32" s="16" t="n"/>
      <c r="S32" s="13">
        <f>IF(AND(ISNUMBER(O32),ISNUMBER(M32)),O32-M32,"")</f>
        <v/>
      </c>
      <c r="T32" s="11" t="n"/>
      <c r="U32" s="11" t="n"/>
      <c r="V32" s="11" t="n"/>
      <c r="W32" s="12" t="n"/>
      <c r="X32" s="17" t="n"/>
      <c r="Y32" s="17" t="n"/>
      <c r="Z32" s="12" t="n"/>
      <c r="AA32" s="11" t="n"/>
      <c r="AB32" s="10" t="n"/>
      <c r="AC32" s="10" t="n"/>
    </row>
    <row r="33">
      <c r="A33" s="10" t="n"/>
      <c r="B33" s="11" t="n"/>
      <c r="C33" s="12" t="n"/>
      <c r="D33" s="12" t="n"/>
      <c r="E33" s="12" t="n"/>
      <c r="F33" s="10" t="n"/>
      <c r="G33" s="10" t="n"/>
      <c r="H33" s="13" t="n"/>
      <c r="I33" s="13" t="n"/>
      <c r="J33" s="13" t="n"/>
      <c r="K33" s="13" t="n"/>
      <c r="L33" s="13" t="n"/>
      <c r="M33" s="13">
        <f>IFERROR(SUM(H33:L33),0)</f>
        <v/>
      </c>
      <c r="N33" s="14" t="n"/>
      <c r="O33" s="15">
        <f>IF(AND(ISNUMBER(M33),ISNUMBER(N33)),M33*(1+N33),"")</f>
        <v/>
      </c>
      <c r="P33" s="15">
        <f>IF(ISNUMBER(O33),O33*0.1,"")</f>
        <v/>
      </c>
      <c r="Q33" s="15">
        <f>IF(AND(ISNUMBER(O33),ISNUMBER(P33)),O33+P33,"")</f>
        <v/>
      </c>
      <c r="R33" s="16" t="n"/>
      <c r="S33" s="13">
        <f>IF(AND(ISNUMBER(O33),ISNUMBER(M33)),O33-M33,"")</f>
        <v/>
      </c>
      <c r="T33" s="11" t="n"/>
      <c r="U33" s="11" t="n"/>
      <c r="V33" s="11" t="n"/>
      <c r="W33" s="12" t="n"/>
      <c r="X33" s="17" t="n"/>
      <c r="Y33" s="17" t="n"/>
      <c r="Z33" s="12" t="n"/>
      <c r="AA33" s="11" t="n"/>
      <c r="AB33" s="10" t="n"/>
      <c r="AC33" s="10" t="n"/>
    </row>
    <row r="34">
      <c r="A34" s="10" t="n"/>
      <c r="B34" s="11" t="n"/>
      <c r="C34" s="12" t="n"/>
      <c r="D34" s="12" t="n"/>
      <c r="E34" s="12" t="n"/>
      <c r="F34" s="10" t="n"/>
      <c r="G34" s="10" t="n"/>
      <c r="H34" s="13" t="n"/>
      <c r="I34" s="13" t="n"/>
      <c r="J34" s="13" t="n"/>
      <c r="K34" s="13" t="n"/>
      <c r="L34" s="13" t="n"/>
      <c r="M34" s="13">
        <f>IFERROR(SUM(H34:L34),0)</f>
        <v/>
      </c>
      <c r="N34" s="14" t="n"/>
      <c r="O34" s="15">
        <f>IF(AND(ISNUMBER(M34),ISNUMBER(N34)),M34*(1+N34),"")</f>
        <v/>
      </c>
      <c r="P34" s="15">
        <f>IF(ISNUMBER(O34),O34*0.1,"")</f>
        <v/>
      </c>
      <c r="Q34" s="15">
        <f>IF(AND(ISNUMBER(O34),ISNUMBER(P34)),O34+P34,"")</f>
        <v/>
      </c>
      <c r="R34" s="16" t="n"/>
      <c r="S34" s="13">
        <f>IF(AND(ISNUMBER(O34),ISNUMBER(M34)),O34-M34,"")</f>
        <v/>
      </c>
      <c r="T34" s="11" t="n"/>
      <c r="U34" s="11" t="n"/>
      <c r="V34" s="11" t="n"/>
      <c r="W34" s="12" t="n"/>
      <c r="X34" s="17" t="n"/>
      <c r="Y34" s="17" t="n"/>
      <c r="Z34" s="12" t="n"/>
      <c r="AA34" s="11" t="n"/>
      <c r="AB34" s="10" t="n"/>
      <c r="AC34" s="10" t="n"/>
    </row>
    <row r="35">
      <c r="A35" s="10" t="n"/>
      <c r="B35" s="11" t="n"/>
      <c r="C35" s="12" t="n"/>
      <c r="D35" s="12" t="n"/>
      <c r="E35" s="12" t="n"/>
      <c r="F35" s="10" t="n"/>
      <c r="G35" s="10" t="n"/>
      <c r="H35" s="13" t="n"/>
      <c r="I35" s="13" t="n"/>
      <c r="J35" s="13" t="n"/>
      <c r="K35" s="13" t="n"/>
      <c r="L35" s="13" t="n"/>
      <c r="M35" s="13">
        <f>IFERROR(SUM(H35:L35),0)</f>
        <v/>
      </c>
      <c r="N35" s="14" t="n"/>
      <c r="O35" s="15">
        <f>IF(AND(ISNUMBER(M35),ISNUMBER(N35)),M35*(1+N35),"")</f>
        <v/>
      </c>
      <c r="P35" s="15">
        <f>IF(ISNUMBER(O35),O35*0.1,"")</f>
        <v/>
      </c>
      <c r="Q35" s="15">
        <f>IF(AND(ISNUMBER(O35),ISNUMBER(P35)),O35+P35,"")</f>
        <v/>
      </c>
      <c r="R35" s="16" t="n"/>
      <c r="S35" s="13">
        <f>IF(AND(ISNUMBER(O35),ISNUMBER(M35)),O35-M35,"")</f>
        <v/>
      </c>
      <c r="T35" s="11" t="n"/>
      <c r="U35" s="11" t="n"/>
      <c r="V35" s="11" t="n"/>
      <c r="W35" s="12" t="n"/>
      <c r="X35" s="17" t="n"/>
      <c r="Y35" s="17" t="n"/>
      <c r="Z35" s="12" t="n"/>
      <c r="AA35" s="11" t="n"/>
      <c r="AB35" s="10" t="n"/>
      <c r="AC35" s="10" t="n"/>
    </row>
    <row r="36">
      <c r="A36" s="10" t="n"/>
      <c r="B36" s="11" t="n"/>
      <c r="C36" s="12" t="n"/>
      <c r="D36" s="12" t="n"/>
      <c r="E36" s="12" t="n"/>
      <c r="F36" s="10" t="n"/>
      <c r="G36" s="10" t="n"/>
      <c r="H36" s="13" t="n"/>
      <c r="I36" s="13" t="n"/>
      <c r="J36" s="13" t="n"/>
      <c r="K36" s="13" t="n"/>
      <c r="L36" s="13" t="n"/>
      <c r="M36" s="13">
        <f>IFERROR(SUM(H36:L36),0)</f>
        <v/>
      </c>
      <c r="N36" s="14" t="n"/>
      <c r="O36" s="15">
        <f>IF(AND(ISNUMBER(M36),ISNUMBER(N36)),M36*(1+N36),"")</f>
        <v/>
      </c>
      <c r="P36" s="15">
        <f>IF(ISNUMBER(O36),O36*0.1,"")</f>
        <v/>
      </c>
      <c r="Q36" s="15">
        <f>IF(AND(ISNUMBER(O36),ISNUMBER(P36)),O36+P36,"")</f>
        <v/>
      </c>
      <c r="R36" s="16" t="n"/>
      <c r="S36" s="13">
        <f>IF(AND(ISNUMBER(O36),ISNUMBER(M36)),O36-M36,"")</f>
        <v/>
      </c>
      <c r="T36" s="11" t="n"/>
      <c r="U36" s="11" t="n"/>
      <c r="V36" s="11" t="n"/>
      <c r="W36" s="12" t="n"/>
      <c r="X36" s="17" t="n"/>
      <c r="Y36" s="17" t="n"/>
      <c r="Z36" s="12" t="n"/>
      <c r="AA36" s="11" t="n"/>
      <c r="AB36" s="10" t="n"/>
      <c r="AC36" s="10" t="n"/>
    </row>
    <row r="37">
      <c r="A37" s="10" t="n"/>
      <c r="B37" s="11" t="n"/>
      <c r="C37" s="12" t="n"/>
      <c r="D37" s="12" t="n"/>
      <c r="E37" s="12" t="n"/>
      <c r="F37" s="10" t="n"/>
      <c r="G37" s="10" t="n"/>
      <c r="H37" s="13" t="n"/>
      <c r="I37" s="13" t="n"/>
      <c r="J37" s="13" t="n"/>
      <c r="K37" s="13" t="n"/>
      <c r="L37" s="13" t="n"/>
      <c r="M37" s="13">
        <f>IFERROR(SUM(H37:L37),0)</f>
        <v/>
      </c>
      <c r="N37" s="14" t="n"/>
      <c r="O37" s="15">
        <f>IF(AND(ISNUMBER(M37),ISNUMBER(N37)),M37*(1+N37),"")</f>
        <v/>
      </c>
      <c r="P37" s="15">
        <f>IF(ISNUMBER(O37),O37*0.1,"")</f>
        <v/>
      </c>
      <c r="Q37" s="15">
        <f>IF(AND(ISNUMBER(O37),ISNUMBER(P37)),O37+P37,"")</f>
        <v/>
      </c>
      <c r="R37" s="16" t="n"/>
      <c r="S37" s="13">
        <f>IF(AND(ISNUMBER(O37),ISNUMBER(M37)),O37-M37,"")</f>
        <v/>
      </c>
      <c r="T37" s="11" t="n"/>
      <c r="U37" s="11" t="n"/>
      <c r="V37" s="11" t="n"/>
      <c r="W37" s="12" t="n"/>
      <c r="X37" s="17" t="n"/>
      <c r="Y37" s="17" t="n"/>
      <c r="Z37" s="12" t="n"/>
      <c r="AA37" s="11" t="n"/>
      <c r="AB37" s="10" t="n"/>
      <c r="AC37" s="10" t="n"/>
    </row>
    <row r="38">
      <c r="A38" s="10" t="n"/>
      <c r="B38" s="11" t="n"/>
      <c r="C38" s="12" t="n"/>
      <c r="D38" s="12" t="n"/>
      <c r="E38" s="12" t="n"/>
      <c r="F38" s="10" t="n"/>
      <c r="G38" s="10" t="n"/>
      <c r="H38" s="13" t="n"/>
      <c r="I38" s="13" t="n"/>
      <c r="J38" s="13" t="n"/>
      <c r="K38" s="13" t="n"/>
      <c r="L38" s="13" t="n"/>
      <c r="M38" s="13">
        <f>IFERROR(SUM(H38:L38),0)</f>
        <v/>
      </c>
      <c r="N38" s="14" t="n"/>
      <c r="O38" s="15">
        <f>IF(AND(ISNUMBER(M38),ISNUMBER(N38)),M38*(1+N38),"")</f>
        <v/>
      </c>
      <c r="P38" s="15">
        <f>IF(ISNUMBER(O38),O38*0.1,"")</f>
        <v/>
      </c>
      <c r="Q38" s="15">
        <f>IF(AND(ISNUMBER(O38),ISNUMBER(P38)),O38+P38,"")</f>
        <v/>
      </c>
      <c r="R38" s="16" t="n"/>
      <c r="S38" s="13">
        <f>IF(AND(ISNUMBER(O38),ISNUMBER(M38)),O38-M38,"")</f>
        <v/>
      </c>
      <c r="T38" s="11" t="n"/>
      <c r="U38" s="11" t="n"/>
      <c r="V38" s="11" t="n"/>
      <c r="W38" s="12" t="n"/>
      <c r="X38" s="17" t="n"/>
      <c r="Y38" s="17" t="n"/>
      <c r="Z38" s="12" t="n"/>
      <c r="AA38" s="11" t="n"/>
      <c r="AB38" s="10" t="n"/>
      <c r="AC38" s="10" t="n"/>
    </row>
    <row r="39">
      <c r="A39" s="10" t="n"/>
      <c r="B39" s="11" t="n"/>
      <c r="C39" s="12" t="n"/>
      <c r="D39" s="12" t="n"/>
      <c r="E39" s="12" t="n"/>
      <c r="F39" s="10" t="n"/>
      <c r="G39" s="10" t="n"/>
      <c r="H39" s="13" t="n"/>
      <c r="I39" s="13" t="n"/>
      <c r="J39" s="13" t="n"/>
      <c r="K39" s="13" t="n"/>
      <c r="L39" s="13" t="n"/>
      <c r="M39" s="13">
        <f>IFERROR(SUM(H39:L39),0)</f>
        <v/>
      </c>
      <c r="N39" s="14" t="n"/>
      <c r="O39" s="15">
        <f>IF(AND(ISNUMBER(M39),ISNUMBER(N39)),M39*(1+N39),"")</f>
        <v/>
      </c>
      <c r="P39" s="15">
        <f>IF(ISNUMBER(O39),O39*0.1,"")</f>
        <v/>
      </c>
      <c r="Q39" s="15">
        <f>IF(AND(ISNUMBER(O39),ISNUMBER(P39)),O39+P39,"")</f>
        <v/>
      </c>
      <c r="R39" s="16" t="n"/>
      <c r="S39" s="13">
        <f>IF(AND(ISNUMBER(O39),ISNUMBER(M39)),O39-M39,"")</f>
        <v/>
      </c>
      <c r="T39" s="11" t="n"/>
      <c r="U39" s="11" t="n"/>
      <c r="V39" s="11" t="n"/>
      <c r="W39" s="12" t="n"/>
      <c r="X39" s="17" t="n"/>
      <c r="Y39" s="17" t="n"/>
      <c r="Z39" s="12" t="n"/>
      <c r="AA39" s="11" t="n"/>
      <c r="AB39" s="10" t="n"/>
      <c r="AC39" s="10" t="n"/>
    </row>
    <row r="40">
      <c r="A40" s="10" t="n"/>
      <c r="B40" s="11" t="n"/>
      <c r="C40" s="12" t="n"/>
      <c r="D40" s="12" t="n"/>
      <c r="E40" s="12" t="n"/>
      <c r="F40" s="10" t="n"/>
      <c r="G40" s="10" t="n"/>
      <c r="H40" s="13" t="n"/>
      <c r="I40" s="13" t="n"/>
      <c r="J40" s="13" t="n"/>
      <c r="K40" s="13" t="n"/>
      <c r="L40" s="13" t="n"/>
      <c r="M40" s="13">
        <f>IFERROR(SUM(H40:L40),0)</f>
        <v/>
      </c>
      <c r="N40" s="14" t="n"/>
      <c r="O40" s="15">
        <f>IF(AND(ISNUMBER(M40),ISNUMBER(N40)),M40*(1+N40),"")</f>
        <v/>
      </c>
      <c r="P40" s="15">
        <f>IF(ISNUMBER(O40),O40*0.1,"")</f>
        <v/>
      </c>
      <c r="Q40" s="15">
        <f>IF(AND(ISNUMBER(O40),ISNUMBER(P40)),O40+P40,"")</f>
        <v/>
      </c>
      <c r="R40" s="16" t="n"/>
      <c r="S40" s="13">
        <f>IF(AND(ISNUMBER(O40),ISNUMBER(M40)),O40-M40,"")</f>
        <v/>
      </c>
      <c r="T40" s="11" t="n"/>
      <c r="U40" s="11" t="n"/>
      <c r="V40" s="11" t="n"/>
      <c r="W40" s="12" t="n"/>
      <c r="X40" s="17" t="n"/>
      <c r="Y40" s="17" t="n"/>
      <c r="Z40" s="12" t="n"/>
      <c r="AA40" s="11" t="n"/>
      <c r="AB40" s="10" t="n"/>
      <c r="AC40" s="10" t="n"/>
    </row>
    <row r="41">
      <c r="A41" s="10" t="n"/>
      <c r="B41" s="11" t="n"/>
      <c r="C41" s="12" t="n"/>
      <c r="D41" s="12" t="n"/>
      <c r="E41" s="12" t="n"/>
      <c r="F41" s="10" t="n"/>
      <c r="G41" s="10" t="n"/>
      <c r="H41" s="13" t="n"/>
      <c r="I41" s="13" t="n"/>
      <c r="J41" s="13" t="n"/>
      <c r="K41" s="13" t="n"/>
      <c r="L41" s="13" t="n"/>
      <c r="M41" s="13">
        <f>IFERROR(SUM(H41:L41),0)</f>
        <v/>
      </c>
      <c r="N41" s="14" t="n"/>
      <c r="O41" s="15">
        <f>IF(AND(ISNUMBER(M41),ISNUMBER(N41)),M41*(1+N41),"")</f>
        <v/>
      </c>
      <c r="P41" s="15">
        <f>IF(ISNUMBER(O41),O41*0.1,"")</f>
        <v/>
      </c>
      <c r="Q41" s="15">
        <f>IF(AND(ISNUMBER(O41),ISNUMBER(P41)),O41+P41,"")</f>
        <v/>
      </c>
      <c r="R41" s="16" t="n"/>
      <c r="S41" s="13">
        <f>IF(AND(ISNUMBER(O41),ISNUMBER(M41)),O41-M41,"")</f>
        <v/>
      </c>
      <c r="T41" s="11" t="n"/>
      <c r="U41" s="11" t="n"/>
      <c r="V41" s="11" t="n"/>
      <c r="W41" s="12" t="n"/>
      <c r="X41" s="17" t="n"/>
      <c r="Y41" s="17" t="n"/>
      <c r="Z41" s="12" t="n"/>
      <c r="AA41" s="11" t="n"/>
      <c r="AB41" s="10" t="n"/>
      <c r="AC41" s="10" t="n"/>
    </row>
    <row r="42">
      <c r="A42" s="10" t="n"/>
      <c r="B42" s="11" t="n"/>
      <c r="C42" s="12" t="n"/>
      <c r="D42" s="12" t="n"/>
      <c r="E42" s="12" t="n"/>
      <c r="F42" s="10" t="n"/>
      <c r="G42" s="10" t="n"/>
      <c r="H42" s="13" t="n"/>
      <c r="I42" s="13" t="n"/>
      <c r="J42" s="13" t="n"/>
      <c r="K42" s="13" t="n"/>
      <c r="L42" s="13" t="n"/>
      <c r="M42" s="13">
        <f>IFERROR(SUM(H42:L42),0)</f>
        <v/>
      </c>
      <c r="N42" s="14" t="n"/>
      <c r="O42" s="15">
        <f>IF(AND(ISNUMBER(M42),ISNUMBER(N42)),M42*(1+N42),"")</f>
        <v/>
      </c>
      <c r="P42" s="15">
        <f>IF(ISNUMBER(O42),O42*0.1,"")</f>
        <v/>
      </c>
      <c r="Q42" s="15">
        <f>IF(AND(ISNUMBER(O42),ISNUMBER(P42)),O42+P42,"")</f>
        <v/>
      </c>
      <c r="R42" s="16" t="n"/>
      <c r="S42" s="13">
        <f>IF(AND(ISNUMBER(O42),ISNUMBER(M42)),O42-M42,"")</f>
        <v/>
      </c>
      <c r="T42" s="11" t="n"/>
      <c r="U42" s="11" t="n"/>
      <c r="V42" s="11" t="n"/>
      <c r="W42" s="12" t="n"/>
      <c r="X42" s="17" t="n"/>
      <c r="Y42" s="17" t="n"/>
      <c r="Z42" s="12" t="n"/>
      <c r="AA42" s="11" t="n"/>
      <c r="AB42" s="10" t="n"/>
      <c r="AC42" s="10" t="n"/>
    </row>
    <row r="43">
      <c r="A43" s="10" t="n"/>
      <c r="B43" s="11" t="n"/>
      <c r="C43" s="12" t="n"/>
      <c r="D43" s="12" t="n"/>
      <c r="E43" s="12" t="n"/>
      <c r="F43" s="10" t="n"/>
      <c r="G43" s="10" t="n"/>
      <c r="H43" s="13" t="n"/>
      <c r="I43" s="13" t="n"/>
      <c r="J43" s="13" t="n"/>
      <c r="K43" s="13" t="n"/>
      <c r="L43" s="13" t="n"/>
      <c r="M43" s="13">
        <f>IFERROR(SUM(H43:L43),0)</f>
        <v/>
      </c>
      <c r="N43" s="14" t="n"/>
      <c r="O43" s="15">
        <f>IF(AND(ISNUMBER(M43),ISNUMBER(N43)),M43*(1+N43),"")</f>
        <v/>
      </c>
      <c r="P43" s="15">
        <f>IF(ISNUMBER(O43),O43*0.1,"")</f>
        <v/>
      </c>
      <c r="Q43" s="15">
        <f>IF(AND(ISNUMBER(O43),ISNUMBER(P43)),O43+P43,"")</f>
        <v/>
      </c>
      <c r="R43" s="16" t="n"/>
      <c r="S43" s="13">
        <f>IF(AND(ISNUMBER(O43),ISNUMBER(M43)),O43-M43,"")</f>
        <v/>
      </c>
      <c r="T43" s="11" t="n"/>
      <c r="U43" s="11" t="n"/>
      <c r="V43" s="11" t="n"/>
      <c r="W43" s="12" t="n"/>
      <c r="X43" s="17" t="n"/>
      <c r="Y43" s="17" t="n"/>
      <c r="Z43" s="12" t="n"/>
      <c r="AA43" s="11" t="n"/>
      <c r="AB43" s="10" t="n"/>
      <c r="AC43" s="10" t="n"/>
    </row>
    <row r="44">
      <c r="A44" s="10" t="n"/>
      <c r="B44" s="11" t="n"/>
      <c r="C44" s="12" t="n"/>
      <c r="D44" s="12" t="n"/>
      <c r="E44" s="12" t="n"/>
      <c r="F44" s="10" t="n"/>
      <c r="G44" s="10" t="n"/>
      <c r="H44" s="13" t="n"/>
      <c r="I44" s="13" t="n"/>
      <c r="J44" s="13" t="n"/>
      <c r="K44" s="13" t="n"/>
      <c r="L44" s="13" t="n"/>
      <c r="M44" s="13">
        <f>IFERROR(SUM(H44:L44),0)</f>
        <v/>
      </c>
      <c r="N44" s="14" t="n"/>
      <c r="O44" s="15">
        <f>IF(AND(ISNUMBER(M44),ISNUMBER(N44)),M44*(1+N44),"")</f>
        <v/>
      </c>
      <c r="P44" s="15">
        <f>IF(ISNUMBER(O44),O44*0.1,"")</f>
        <v/>
      </c>
      <c r="Q44" s="15">
        <f>IF(AND(ISNUMBER(O44),ISNUMBER(P44)),O44+P44,"")</f>
        <v/>
      </c>
      <c r="R44" s="16" t="n"/>
      <c r="S44" s="13">
        <f>IF(AND(ISNUMBER(O44),ISNUMBER(M44)),O44-M44,"")</f>
        <v/>
      </c>
      <c r="T44" s="11" t="n"/>
      <c r="U44" s="11" t="n"/>
      <c r="V44" s="11" t="n"/>
      <c r="W44" s="12" t="n"/>
      <c r="X44" s="17" t="n"/>
      <c r="Y44" s="17" t="n"/>
      <c r="Z44" s="12" t="n"/>
      <c r="AA44" s="11" t="n"/>
      <c r="AB44" s="10" t="n"/>
      <c r="AC44" s="10" t="n"/>
    </row>
    <row r="45">
      <c r="A45" s="10" t="n"/>
      <c r="B45" s="11" t="n"/>
      <c r="C45" s="12" t="n"/>
      <c r="D45" s="12" t="n"/>
      <c r="E45" s="12" t="n"/>
      <c r="F45" s="10" t="n"/>
      <c r="G45" s="10" t="n"/>
      <c r="H45" s="13" t="n"/>
      <c r="I45" s="13" t="n"/>
      <c r="J45" s="13" t="n"/>
      <c r="K45" s="13" t="n"/>
      <c r="L45" s="13" t="n"/>
      <c r="M45" s="13">
        <f>IFERROR(SUM(H45:L45),0)</f>
        <v/>
      </c>
      <c r="N45" s="14" t="n"/>
      <c r="O45" s="15">
        <f>IF(AND(ISNUMBER(M45),ISNUMBER(N45)),M45*(1+N45),"")</f>
        <v/>
      </c>
      <c r="P45" s="15">
        <f>IF(ISNUMBER(O45),O45*0.1,"")</f>
        <v/>
      </c>
      <c r="Q45" s="15">
        <f>IF(AND(ISNUMBER(O45),ISNUMBER(P45)),O45+P45,"")</f>
        <v/>
      </c>
      <c r="R45" s="16" t="n"/>
      <c r="S45" s="13">
        <f>IF(AND(ISNUMBER(O45),ISNUMBER(M45)),O45-M45,"")</f>
        <v/>
      </c>
      <c r="T45" s="11" t="n"/>
      <c r="U45" s="11" t="n"/>
      <c r="V45" s="11" t="n"/>
      <c r="W45" s="12" t="n"/>
      <c r="X45" s="17" t="n"/>
      <c r="Y45" s="17" t="n"/>
      <c r="Z45" s="12" t="n"/>
      <c r="AA45" s="11" t="n"/>
      <c r="AB45" s="10" t="n"/>
      <c r="AC45" s="10" t="n"/>
    </row>
    <row r="46">
      <c r="A46" s="10" t="n"/>
      <c r="B46" s="11" t="n"/>
      <c r="C46" s="12" t="n"/>
      <c r="D46" s="12" t="n"/>
      <c r="E46" s="12" t="n"/>
      <c r="F46" s="10" t="n"/>
      <c r="G46" s="10" t="n"/>
      <c r="H46" s="13" t="n"/>
      <c r="I46" s="13" t="n"/>
      <c r="J46" s="13" t="n"/>
      <c r="K46" s="13" t="n"/>
      <c r="L46" s="13" t="n"/>
      <c r="M46" s="13">
        <f>IFERROR(SUM(H46:L46),0)</f>
        <v/>
      </c>
      <c r="N46" s="14" t="n"/>
      <c r="O46" s="15">
        <f>IF(AND(ISNUMBER(M46),ISNUMBER(N46)),M46*(1+N46),"")</f>
        <v/>
      </c>
      <c r="P46" s="15">
        <f>IF(ISNUMBER(O46),O46*0.1,"")</f>
        <v/>
      </c>
      <c r="Q46" s="15">
        <f>IF(AND(ISNUMBER(O46),ISNUMBER(P46)),O46+P46,"")</f>
        <v/>
      </c>
      <c r="R46" s="16" t="n"/>
      <c r="S46" s="13">
        <f>IF(AND(ISNUMBER(O46),ISNUMBER(M46)),O46-M46,"")</f>
        <v/>
      </c>
      <c r="T46" s="11" t="n"/>
      <c r="U46" s="11" t="n"/>
      <c r="V46" s="11" t="n"/>
      <c r="W46" s="12" t="n"/>
      <c r="X46" s="17" t="n"/>
      <c r="Y46" s="17" t="n"/>
      <c r="Z46" s="12" t="n"/>
      <c r="AA46" s="11" t="n"/>
      <c r="AB46" s="10" t="n"/>
      <c r="AC46" s="10" t="n"/>
    </row>
    <row r="47">
      <c r="A47" s="10" t="n"/>
      <c r="B47" s="11" t="n"/>
      <c r="C47" s="12" t="n"/>
      <c r="D47" s="12" t="n"/>
      <c r="E47" s="12" t="n"/>
      <c r="F47" s="10" t="n"/>
      <c r="G47" s="10" t="n"/>
      <c r="H47" s="13" t="n"/>
      <c r="I47" s="13" t="n"/>
      <c r="J47" s="13" t="n"/>
      <c r="K47" s="13" t="n"/>
      <c r="L47" s="13" t="n"/>
      <c r="M47" s="13">
        <f>IFERROR(SUM(H47:L47),0)</f>
        <v/>
      </c>
      <c r="N47" s="14" t="n"/>
      <c r="O47" s="15">
        <f>IF(AND(ISNUMBER(M47),ISNUMBER(N47)),M47*(1+N47),"")</f>
        <v/>
      </c>
      <c r="P47" s="15">
        <f>IF(ISNUMBER(O47),O47*0.1,"")</f>
        <v/>
      </c>
      <c r="Q47" s="15">
        <f>IF(AND(ISNUMBER(O47),ISNUMBER(P47)),O47+P47,"")</f>
        <v/>
      </c>
      <c r="R47" s="16" t="n"/>
      <c r="S47" s="13">
        <f>IF(AND(ISNUMBER(O47),ISNUMBER(M47)),O47-M47,"")</f>
        <v/>
      </c>
      <c r="T47" s="11" t="n"/>
      <c r="U47" s="11" t="n"/>
      <c r="V47" s="11" t="n"/>
      <c r="W47" s="12" t="n"/>
      <c r="X47" s="17" t="n"/>
      <c r="Y47" s="17" t="n"/>
      <c r="Z47" s="12" t="n"/>
      <c r="AA47" s="11" t="n"/>
      <c r="AB47" s="10" t="n"/>
      <c r="AC47" s="10" t="n"/>
    </row>
    <row r="48">
      <c r="A48" s="10" t="n"/>
      <c r="B48" s="11" t="n"/>
      <c r="C48" s="12" t="n"/>
      <c r="D48" s="12" t="n"/>
      <c r="E48" s="12" t="n"/>
      <c r="F48" s="10" t="n"/>
      <c r="G48" s="10" t="n"/>
      <c r="H48" s="13" t="n"/>
      <c r="I48" s="13" t="n"/>
      <c r="J48" s="13" t="n"/>
      <c r="K48" s="13" t="n"/>
      <c r="L48" s="13" t="n"/>
      <c r="M48" s="13">
        <f>IFERROR(SUM(H48:L48),0)</f>
        <v/>
      </c>
      <c r="N48" s="14" t="n"/>
      <c r="O48" s="15">
        <f>IF(AND(ISNUMBER(M48),ISNUMBER(N48)),M48*(1+N48),"")</f>
        <v/>
      </c>
      <c r="P48" s="15">
        <f>IF(ISNUMBER(O48),O48*0.1,"")</f>
        <v/>
      </c>
      <c r="Q48" s="15">
        <f>IF(AND(ISNUMBER(O48),ISNUMBER(P48)),O48+P48,"")</f>
        <v/>
      </c>
      <c r="R48" s="16" t="n"/>
      <c r="S48" s="13">
        <f>IF(AND(ISNUMBER(O48),ISNUMBER(M48)),O48-M48,"")</f>
        <v/>
      </c>
      <c r="T48" s="11" t="n"/>
      <c r="U48" s="11" t="n"/>
      <c r="V48" s="11" t="n"/>
      <c r="W48" s="12" t="n"/>
      <c r="X48" s="17" t="n"/>
      <c r="Y48" s="17" t="n"/>
      <c r="Z48" s="12" t="n"/>
      <c r="AA48" s="11" t="n"/>
      <c r="AB48" s="10" t="n"/>
      <c r="AC48" s="10" t="n"/>
    </row>
    <row r="49">
      <c r="A49" s="10" t="n"/>
      <c r="B49" s="11" t="n"/>
      <c r="C49" s="12" t="n"/>
      <c r="D49" s="12" t="n"/>
      <c r="E49" s="12" t="n"/>
      <c r="F49" s="10" t="n"/>
      <c r="G49" s="10" t="n"/>
      <c r="H49" s="13" t="n"/>
      <c r="I49" s="13" t="n"/>
      <c r="J49" s="13" t="n"/>
      <c r="K49" s="13" t="n"/>
      <c r="L49" s="13" t="n"/>
      <c r="M49" s="13">
        <f>IFERROR(SUM(H49:L49),0)</f>
        <v/>
      </c>
      <c r="N49" s="14" t="n"/>
      <c r="O49" s="15">
        <f>IF(AND(ISNUMBER(M49),ISNUMBER(N49)),M49*(1+N49),"")</f>
        <v/>
      </c>
      <c r="P49" s="15">
        <f>IF(ISNUMBER(O49),O49*0.1,"")</f>
        <v/>
      </c>
      <c r="Q49" s="15">
        <f>IF(AND(ISNUMBER(O49),ISNUMBER(P49)),O49+P49,"")</f>
        <v/>
      </c>
      <c r="R49" s="16" t="n"/>
      <c r="S49" s="13">
        <f>IF(AND(ISNUMBER(O49),ISNUMBER(M49)),O49-M49,"")</f>
        <v/>
      </c>
      <c r="T49" s="11" t="n"/>
      <c r="U49" s="11" t="n"/>
      <c r="V49" s="11" t="n"/>
      <c r="W49" s="12" t="n"/>
      <c r="X49" s="17" t="n"/>
      <c r="Y49" s="17" t="n"/>
      <c r="Z49" s="12" t="n"/>
      <c r="AA49" s="11" t="n"/>
      <c r="AB49" s="10" t="n"/>
      <c r="AC49" s="10" t="n"/>
    </row>
    <row r="50">
      <c r="A50" s="10" t="n"/>
      <c r="B50" s="11" t="n"/>
      <c r="C50" s="12" t="n"/>
      <c r="D50" s="12" t="n"/>
      <c r="E50" s="12" t="n"/>
      <c r="F50" s="10" t="n"/>
      <c r="G50" s="10" t="n"/>
      <c r="H50" s="13" t="n"/>
      <c r="I50" s="13" t="n"/>
      <c r="J50" s="13" t="n"/>
      <c r="K50" s="13" t="n"/>
      <c r="L50" s="13" t="n"/>
      <c r="M50" s="13">
        <f>IFERROR(SUM(H50:L50),0)</f>
        <v/>
      </c>
      <c r="N50" s="14" t="n"/>
      <c r="O50" s="15">
        <f>IF(AND(ISNUMBER(M50),ISNUMBER(N50)),M50*(1+N50),"")</f>
        <v/>
      </c>
      <c r="P50" s="15">
        <f>IF(ISNUMBER(O50),O50*0.1,"")</f>
        <v/>
      </c>
      <c r="Q50" s="15">
        <f>IF(AND(ISNUMBER(O50),ISNUMBER(P50)),O50+P50,"")</f>
        <v/>
      </c>
      <c r="R50" s="16" t="n"/>
      <c r="S50" s="13">
        <f>IF(AND(ISNUMBER(O50),ISNUMBER(M50)),O50-M50,"")</f>
        <v/>
      </c>
      <c r="T50" s="11" t="n"/>
      <c r="U50" s="11" t="n"/>
      <c r="V50" s="11" t="n"/>
      <c r="W50" s="12" t="n"/>
      <c r="X50" s="17" t="n"/>
      <c r="Y50" s="17" t="n"/>
      <c r="Z50" s="12" t="n"/>
      <c r="AA50" s="11" t="n"/>
      <c r="AB50" s="10" t="n"/>
      <c r="AC50" s="10" t="n"/>
    </row>
    <row r="51">
      <c r="A51" s="10" t="n"/>
      <c r="B51" s="11" t="n"/>
      <c r="C51" s="12" t="n"/>
      <c r="D51" s="12" t="n"/>
      <c r="E51" s="12" t="n"/>
      <c r="F51" s="10" t="n"/>
      <c r="G51" s="10" t="n"/>
      <c r="H51" s="13" t="n"/>
      <c r="I51" s="13" t="n"/>
      <c r="J51" s="13" t="n"/>
      <c r="K51" s="13" t="n"/>
      <c r="L51" s="13" t="n"/>
      <c r="M51" s="13">
        <f>IFERROR(SUM(H51:L51),0)</f>
        <v/>
      </c>
      <c r="N51" s="14" t="n"/>
      <c r="O51" s="15">
        <f>IF(AND(ISNUMBER(M51),ISNUMBER(N51)),M51*(1+N51),"")</f>
        <v/>
      </c>
      <c r="P51" s="15">
        <f>IF(ISNUMBER(O51),O51*0.1,"")</f>
        <v/>
      </c>
      <c r="Q51" s="15">
        <f>IF(AND(ISNUMBER(O51),ISNUMBER(P51)),O51+P51,"")</f>
        <v/>
      </c>
      <c r="R51" s="16" t="n"/>
      <c r="S51" s="13">
        <f>IF(AND(ISNUMBER(O51),ISNUMBER(M51)),O51-M51,"")</f>
        <v/>
      </c>
      <c r="T51" s="11" t="n"/>
      <c r="U51" s="11" t="n"/>
      <c r="V51" s="11" t="n"/>
      <c r="W51" s="12" t="n"/>
      <c r="X51" s="17" t="n"/>
      <c r="Y51" s="17" t="n"/>
      <c r="Z51" s="12" t="n"/>
      <c r="AA51" s="11" t="n"/>
      <c r="AB51" s="10" t="n"/>
      <c r="AC51" s="10" t="n"/>
    </row>
    <row r="52">
      <c r="A52" s="10" t="n"/>
      <c r="B52" s="11" t="n"/>
      <c r="C52" s="12" t="n"/>
      <c r="D52" s="12" t="n"/>
      <c r="E52" s="12" t="n"/>
      <c r="F52" s="10" t="n"/>
      <c r="G52" s="10" t="n"/>
      <c r="H52" s="13" t="n"/>
      <c r="I52" s="13" t="n"/>
      <c r="J52" s="13" t="n"/>
      <c r="K52" s="13" t="n"/>
      <c r="L52" s="13" t="n"/>
      <c r="M52" s="13">
        <f>IFERROR(SUM(H52:L52),0)</f>
        <v/>
      </c>
      <c r="N52" s="14" t="n"/>
      <c r="O52" s="15">
        <f>IF(AND(ISNUMBER(M52),ISNUMBER(N52)),M52*(1+N52),"")</f>
        <v/>
      </c>
      <c r="P52" s="15">
        <f>IF(ISNUMBER(O52),O52*0.1,"")</f>
        <v/>
      </c>
      <c r="Q52" s="15">
        <f>IF(AND(ISNUMBER(O52),ISNUMBER(P52)),O52+P52,"")</f>
        <v/>
      </c>
      <c r="R52" s="16" t="n"/>
      <c r="S52" s="13">
        <f>IF(AND(ISNUMBER(O52),ISNUMBER(M52)),O52-M52,"")</f>
        <v/>
      </c>
      <c r="T52" s="11" t="n"/>
      <c r="U52" s="11" t="n"/>
      <c r="V52" s="11" t="n"/>
      <c r="W52" s="12" t="n"/>
      <c r="X52" s="17" t="n"/>
      <c r="Y52" s="17" t="n"/>
      <c r="Z52" s="12" t="n"/>
      <c r="AA52" s="11" t="n"/>
      <c r="AB52" s="10" t="n"/>
      <c r="AC52" s="10" t="n"/>
    </row>
    <row r="53">
      <c r="A53" s="10" t="n"/>
      <c r="B53" s="11" t="n"/>
      <c r="C53" s="12" t="n"/>
      <c r="D53" s="12" t="n"/>
      <c r="E53" s="12" t="n"/>
      <c r="F53" s="10" t="n"/>
      <c r="G53" s="10" t="n"/>
      <c r="H53" s="13" t="n"/>
      <c r="I53" s="13" t="n"/>
      <c r="J53" s="13" t="n"/>
      <c r="K53" s="13" t="n"/>
      <c r="L53" s="13" t="n"/>
      <c r="M53" s="13">
        <f>IFERROR(SUM(H53:L53),0)</f>
        <v/>
      </c>
      <c r="N53" s="14" t="n"/>
      <c r="O53" s="15">
        <f>IF(AND(ISNUMBER(M53),ISNUMBER(N53)),M53*(1+N53),"")</f>
        <v/>
      </c>
      <c r="P53" s="15">
        <f>IF(ISNUMBER(O53),O53*0.1,"")</f>
        <v/>
      </c>
      <c r="Q53" s="15">
        <f>IF(AND(ISNUMBER(O53),ISNUMBER(P53)),O53+P53,"")</f>
        <v/>
      </c>
      <c r="R53" s="16" t="n"/>
      <c r="S53" s="13">
        <f>IF(AND(ISNUMBER(O53),ISNUMBER(M53)),O53-M53,"")</f>
        <v/>
      </c>
      <c r="T53" s="11" t="n"/>
      <c r="U53" s="11" t="n"/>
      <c r="V53" s="11" t="n"/>
      <c r="W53" s="12" t="n"/>
      <c r="X53" s="17" t="n"/>
      <c r="Y53" s="17" t="n"/>
      <c r="Z53" s="12" t="n"/>
      <c r="AA53" s="11" t="n"/>
      <c r="AB53" s="10" t="n"/>
      <c r="AC53" s="10" t="n"/>
    </row>
    <row r="55" ht="30" customHeight="1">
      <c r="A55" s="18" t="inlineStr">
        <is>
          <t>CONFIDENTIAL columns (red header band) contain cost-to-me data and MUST NEVER be shared with the client. CLIENT columns (green header band) are the only price figures that appear on the formal Variation Notice.</t>
        </is>
      </c>
    </row>
  </sheetData>
  <mergeCells count="6">
    <mergeCell ref="A1:AC1"/>
    <mergeCell ref="O2:S2"/>
    <mergeCell ref="H2:N2"/>
    <mergeCell ref="A2:G2"/>
    <mergeCell ref="A55:AC55"/>
    <mergeCell ref="T2:AC2"/>
  </mergeCells>
  <dataValidations count="5">
    <dataValidation sqref="C4:C53" showDropDown="0" showInputMessage="0" showErrorMessage="0" allowBlank="1" errorTitle="Invalid entry" error="Pick from the Status list" type="list">
      <formula1>=StatusList</formula1>
    </dataValidation>
    <dataValidation sqref="D4:D53" showDropDown="0" showInputMessage="0" showErrorMessage="0" allowBlank="1" errorTitle="Invalid entry" error="Pick from the Phase list" type="list">
      <formula1>=PhaseList</formula1>
    </dataValidation>
    <dataValidation sqref="E4:E53" showDropDown="0" showInputMessage="0" showErrorMessage="0" allowBlank="1" errorTitle="Invalid entry" error="Pick from the Trigger list" type="list">
      <formula1>=TriggerList</formula1>
    </dataValidation>
    <dataValidation sqref="W4:W53" showDropDown="0" showInputMessage="0" showErrorMessage="0" allowBlank="1" errorTitle="Invalid entry" error="Pick from the Approval method list" type="list">
      <formula1>=ApprovalList</formula1>
    </dataValidation>
    <dataValidation sqref="Z4:Z53" showDropDown="0" showInputMessage="0" showErrorMessage="0" allowBlank="1" errorTitle="Invalid entry" error="Pick from the Invoice method list" type="list">
      <formula1>=InvoiceList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Status</t>
        </is>
      </c>
      <c r="B1" s="19" t="inlineStr">
        <is>
          <t>Trigger</t>
        </is>
      </c>
      <c r="C1" s="19" t="inlineStr">
        <is>
          <t>Phase</t>
        </is>
      </c>
      <c r="D1" s="19" t="inlineStr">
        <is>
          <t>ApprovalMethod</t>
        </is>
      </c>
      <c r="E1" s="19" t="inlineStr">
        <is>
          <t>InvoiceMethod</t>
        </is>
      </c>
    </row>
    <row r="2">
      <c r="A2" t="inlineStr">
        <is>
          <t>RAISED</t>
        </is>
      </c>
      <c r="B2" t="inlineStr">
        <is>
          <t>Client request</t>
        </is>
      </c>
      <c r="C2" t="inlineStr">
        <is>
          <t>1 — RAISED</t>
        </is>
      </c>
      <c r="D2" t="inlineStr">
        <is>
          <t>Email confirmation</t>
        </is>
      </c>
      <c r="E2" t="inlineStr">
        <is>
          <t>Next progress claim</t>
        </is>
      </c>
    </row>
    <row r="3">
      <c r="A3" t="inlineStr">
        <is>
          <t>PRICED</t>
        </is>
      </c>
      <c r="B3" t="inlineStr">
        <is>
          <t>Site condition</t>
        </is>
      </c>
      <c r="C3" t="inlineStr">
        <is>
          <t>2 — FINALISED</t>
        </is>
      </c>
      <c r="D3" t="inlineStr">
        <is>
          <t>Signed PDF</t>
        </is>
      </c>
      <c r="E3" t="inlineStr">
        <is>
          <t>Standalone invoice</t>
        </is>
      </c>
    </row>
    <row r="4">
      <c r="A4" t="inlineStr">
        <is>
          <t>FINALISED</t>
        </is>
      </c>
      <c r="B4" t="inlineStr">
        <is>
          <t>Council / certifier</t>
        </is>
      </c>
      <c r="D4" t="inlineStr">
        <is>
          <t>Signed hardcopy</t>
        </is>
      </c>
      <c r="E4" t="inlineStr">
        <is>
          <t>Not yet invoiced</t>
        </is>
      </c>
    </row>
    <row r="5">
      <c r="A5" t="inlineStr">
        <is>
          <t>APPROVED</t>
        </is>
      </c>
      <c r="B5" t="inlineStr">
        <is>
          <t>Architect / engineer</t>
        </is>
      </c>
      <c r="D5" t="inlineStr">
        <is>
          <t>Verbal + email confirm</t>
        </is>
      </c>
    </row>
    <row r="6">
      <c r="A6" t="inlineStr">
        <is>
          <t>INVOICED</t>
        </is>
      </c>
      <c r="B6" t="inlineStr">
        <is>
          <t>Supplier-driven</t>
        </is>
      </c>
    </row>
    <row r="7">
      <c r="A7" t="inlineStr">
        <is>
          <t>CANCELLED</t>
        </is>
      </c>
      <c r="B7" t="inlineStr">
        <is>
          <t>Builder-initiated</t>
        </is>
      </c>
    </row>
    <row r="8">
      <c r="A8" t="inlineStr">
        <is>
          <t>ON HOLD</t>
        </is>
      </c>
      <c r="B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8" customHeight="1">
      <c r="A1" s="1" t="inlineStr">
        <is>
          <t>PROJECT SETUP</t>
        </is>
      </c>
    </row>
    <row r="3">
      <c r="A3" s="20" t="inlineStr">
        <is>
          <t>Project code</t>
        </is>
      </c>
      <c r="B3" s="21" t="inlineStr">
        <is>
          <t>(e.g. 42SMITH)</t>
        </is>
      </c>
    </row>
    <row r="4">
      <c r="A4" s="20" t="inlineStr">
        <is>
          <t>Project name / site address</t>
        </is>
      </c>
      <c r="B4" s="21" t="inlineStr"/>
    </row>
    <row r="5">
      <c r="A5" s="20" t="inlineStr">
        <is>
          <t>Client name(s)</t>
        </is>
      </c>
      <c r="B5" s="21" t="inlineStr"/>
    </row>
    <row r="6">
      <c r="A6" s="20" t="inlineStr">
        <is>
          <t>Client email</t>
        </is>
      </c>
      <c r="B6" s="21" t="inlineStr"/>
    </row>
    <row r="7">
      <c r="A7" s="20" t="inlineStr">
        <is>
          <t>Client phone</t>
        </is>
      </c>
      <c r="B7" s="21" t="inlineStr"/>
    </row>
    <row r="8">
      <c r="A8" s="20" t="inlineStr">
        <is>
          <t>Contract date</t>
        </is>
      </c>
      <c r="B8" s="21" t="inlineStr"/>
    </row>
    <row r="9">
      <c r="A9" s="20" t="inlineStr">
        <is>
          <t>Original contract sum (inc GST)</t>
        </is>
      </c>
      <c r="B9" s="22" t="n">
        <v>0</v>
      </c>
    </row>
    <row r="10">
      <c r="A10" s="20" t="inlineStr">
        <is>
          <t>Builder name (brand)</t>
        </is>
      </c>
      <c r="B10" s="21" t="inlineStr">
        <is>
          <t>Renovate 8</t>
        </is>
      </c>
    </row>
    <row r="11">
      <c r="A11" s="20" t="inlineStr">
        <is>
          <t>Builder legal entity (licence holder)</t>
        </is>
      </c>
      <c r="B11" s="21" t="inlineStr">
        <is>
          <t>Gold and Eagle Constructions</t>
        </is>
      </c>
    </row>
    <row r="12">
      <c r="A12" s="20" t="inlineStr">
        <is>
          <t>Builder ABN</t>
        </is>
      </c>
      <c r="B12" s="21" t="inlineStr">
        <is>
          <t>72 098 695 446</t>
        </is>
      </c>
    </row>
    <row r="13">
      <c r="A13" s="20" t="inlineStr">
        <is>
          <t>Builder NSW Contractor Licence #</t>
        </is>
      </c>
      <c r="B13" s="21" t="inlineStr">
        <is>
          <t>139701C</t>
        </is>
      </c>
    </row>
    <row r="14">
      <c r="A14" s="20" t="inlineStr">
        <is>
          <t>Builder address</t>
        </is>
      </c>
      <c r="B14" s="21" t="inlineStr">
        <is>
          <t>62 Budyan Road, Grays Point NSW 2232</t>
        </is>
      </c>
    </row>
    <row r="15">
      <c r="A15" s="20" t="inlineStr">
        <is>
          <t>Builder contact email</t>
        </is>
      </c>
      <c r="B15" s="21" t="inlineStr">
        <is>
          <t>paul@renovate8.com.au</t>
        </is>
      </c>
    </row>
    <row r="16">
      <c r="A16" s="20" t="inlineStr">
        <is>
          <t>Builder contact phone</t>
        </is>
      </c>
      <c r="B16" s="21" t="inlineStr">
        <is>
          <t>0404 899 899</t>
        </is>
      </c>
    </row>
    <row r="17">
      <c r="A17" s="20" t="inlineStr">
        <is>
          <t>Contract form</t>
        </is>
      </c>
      <c r="B17" s="21" t="inlineStr">
        <is>
          <t>MBA NSW Residential Building Contract</t>
        </is>
      </c>
    </row>
    <row r="18">
      <c r="A18" s="20" t="inlineStr">
        <is>
          <t>Dropbox root for project</t>
        </is>
      </c>
      <c r="B18" s="21" t="inlineStr"/>
    </row>
    <row r="19">
      <c r="A19" s="20" t="inlineStr">
        <is>
          <t>Default markup %</t>
        </is>
      </c>
      <c r="B19" s="21" t="inlineStr">
        <is>
          <t>(leave blank — set per variation)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</cols>
  <sheetData>
    <row r="1" ht="26" customHeight="1">
      <c r="A1" s="1" t="inlineStr">
        <is>
          <t>PROJECT SUMMARY</t>
        </is>
      </c>
    </row>
    <row r="3">
      <c r="A3" s="20" t="inlineStr">
        <is>
          <t>Project code</t>
        </is>
      </c>
      <c r="B3" s="23">
        <f>ProjectCode</f>
        <v/>
      </c>
      <c r="C3" s="24" t="inlineStr"/>
    </row>
    <row r="4">
      <c r="A4" s="20" t="inlineStr">
        <is>
          <t>Project name / address</t>
        </is>
      </c>
      <c r="B4" s="23">
        <f>ProjectName</f>
        <v/>
      </c>
      <c r="C4" s="24" t="inlineStr"/>
    </row>
    <row r="5">
      <c r="A5" s="20" t="inlineStr">
        <is>
          <t>Client</t>
        </is>
      </c>
      <c r="B5" s="23">
        <f>ClientName</f>
        <v/>
      </c>
      <c r="C5" s="24" t="inlineStr"/>
    </row>
    <row r="6">
      <c r="A6" t="inlineStr"/>
      <c r="B6" t="inlineStr"/>
      <c r="C6" t="inlineStr"/>
    </row>
    <row r="7">
      <c r="A7" s="20" t="inlineStr">
        <is>
          <t>Original contract sum (inc GST)</t>
        </is>
      </c>
      <c r="B7" s="25">
        <f>OriginalContractSum</f>
        <v/>
      </c>
      <c r="C7" s="24" t="inlineStr">
        <is>
          <t>From Project Setup</t>
        </is>
      </c>
    </row>
    <row r="8">
      <c r="A8" s="20" t="inlineStr">
        <is>
          <t>Variations RAISED (count)</t>
        </is>
      </c>
      <c r="B8" s="26">
        <f>COUNTIF(Variations!C4:C53,"RAISED")</f>
        <v/>
      </c>
      <c r="C8" s="24" t="inlineStr">
        <is>
          <t>Phase 1 issued</t>
        </is>
      </c>
    </row>
    <row r="9">
      <c r="A9" s="20" t="inlineStr">
        <is>
          <t>Variations FINALISED+ (count)</t>
        </is>
      </c>
      <c r="B9" s="26">
        <f>COUNTIFS(Variations!C4:C53,"&lt;&gt;RAISED",Variations!C4:C53,"&lt;&gt;CANCELLED",Variations!C4:C53,"&lt;&gt;ON HOLD",Variations!C4:C53,"&lt;&gt;")</f>
        <v/>
      </c>
      <c r="C9" s="24" t="inlineStr">
        <is>
          <t>Priced through to invoiced</t>
        </is>
      </c>
    </row>
    <row r="10">
      <c r="A10" s="20" t="inlineStr">
        <is>
          <t>Variations CANCELLED (count)</t>
        </is>
      </c>
      <c r="B10" s="26">
        <f>COUNTIF(Variations!C4:C53,"CANCELLED")</f>
        <v/>
      </c>
      <c r="C10" s="24" t="inlineStr"/>
    </row>
    <row r="11">
      <c r="A11" t="inlineStr"/>
      <c r="B11" t="inlineStr"/>
      <c r="C11" t="inlineStr"/>
    </row>
    <row r="12">
      <c r="A12" s="20" t="inlineStr">
        <is>
          <t>Total approved variations (inc GST)</t>
        </is>
      </c>
      <c r="B12" s="25">
        <f>IFERROR(SUMIFS(Variations!Q4:Q53,Variations!C4:C53,"APPROVED")+SUMIFS(Variations!Q4:Q53,Variations!C4:C53,"INVOICED"),0)</f>
        <v/>
      </c>
      <c r="C12" s="24" t="inlineStr">
        <is>
          <t>Sum of APPROVED + INVOICED only</t>
        </is>
      </c>
    </row>
    <row r="13">
      <c r="A13" s="20" t="inlineStr">
        <is>
          <t>Total pending variations (inc GST)</t>
        </is>
      </c>
      <c r="B13" s="25">
        <f>IFERROR(SUMIFS(Variations!Q4:Q53,Variations!C4:C53,"RAISED")+SUMIFS(Variations!Q4:Q53,Variations!C4:C53,"PRICED")+SUMIFS(Variations!Q4:Q53,Variations!C4:C53,"FINALISED"),0)</f>
        <v/>
      </c>
      <c r="C13" s="24" t="inlineStr">
        <is>
          <t>Not yet client-approved</t>
        </is>
      </c>
    </row>
    <row r="14">
      <c r="A14" t="inlineStr"/>
      <c r="B14" t="inlineStr"/>
      <c r="C14" t="inlineStr"/>
    </row>
    <row r="15">
      <c r="A15" s="20" t="inlineStr">
        <is>
          <t>Revised contract sum (approved only)</t>
        </is>
      </c>
      <c r="B15" s="25">
        <f>B6+B11</f>
        <v/>
      </c>
      <c r="C15" s="24" t="inlineStr">
        <is>
          <t>Original + approved variations</t>
        </is>
      </c>
    </row>
    <row r="16">
      <c r="A16" s="20" t="inlineStr">
        <is>
          <t>Revised contract sum (incl. pending)</t>
        </is>
      </c>
      <c r="B16" s="25">
        <f>B6+B11+B12</f>
        <v/>
      </c>
      <c r="C16" s="24" t="inlineStr">
        <is>
          <t>Worst case — if everything pending also approves</t>
        </is>
      </c>
    </row>
    <row r="17">
      <c r="A17" t="inlineStr"/>
      <c r="B17" t="inlineStr"/>
      <c r="C17" t="inlineStr"/>
    </row>
    <row r="18">
      <c r="A18" s="27" t="inlineStr">
        <is>
          <t>Total cost-to-me (CONFIDENTIAL)</t>
        </is>
      </c>
      <c r="B18" s="28">
        <f>IFERROR(SUMIFS(Variations!M4:M53,Variations!C4:C53,"APPROVED")+SUMIFS(Variations!M4:M53,Variations!C4:C53,"INVOICED"),0)</f>
        <v/>
      </c>
      <c r="C18" s="24" t="inlineStr">
        <is>
          <t>Internal — DO NOT share</t>
        </is>
      </c>
    </row>
    <row r="19">
      <c r="A19" s="27" t="inlineStr">
        <is>
          <t>Total margin (CONFIDENTIAL)</t>
        </is>
      </c>
      <c r="B19" s="28">
        <f>IFERROR(SUMIFS(Variations!S4:S53,Variations!C4:C53,"APPROVED")+SUMIFS(Variations!S4:S53,Variations!C4:C53,"INVOICED"),0)</f>
        <v/>
      </c>
      <c r="C19" s="24" t="inlineStr">
        <is>
          <t>Internal — DO NOT share</t>
        </is>
      </c>
    </row>
    <row r="20">
      <c r="A20" s="20" t="inlineStr">
        <is>
          <t>Average markup % (approved)</t>
        </is>
      </c>
      <c r="B20" s="29">
        <f>IFERROR(AVERAGEIFS(Variations!N4:N53,Variations!C4:C53,"APPROVED"),"")</f>
        <v/>
      </c>
      <c r="C20" s="24" t="inlineStr">
        <is>
          <t>Internal</t>
        </is>
      </c>
    </row>
    <row r="21">
      <c r="A21" s="20" t="inlineStr">
        <is>
          <t>Total time impact (days)</t>
        </is>
      </c>
      <c r="B21" s="26">
        <f>IFERROR(SUM(Variations!R4:R53),0)</f>
        <v/>
      </c>
      <c r="C21" s="24" t="inlineStr">
        <is>
          <t>Across all non-cancelled rows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2026-05-15T03:47:19Z</dcterms:created>
  <dcterms:modified xmlns:dcterms="http://purl.org/dc/terms/" xmlns:xsi="http://www.w3.org/2001/XMLSchema-instance" xsi:type="dcterms:W3CDTF">2026-05-15T03:47:19Z</dcterms:modified>
</cp:coreProperties>
</file>